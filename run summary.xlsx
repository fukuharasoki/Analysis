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ecsosaka-my.sharepoint.com/personal/u907377j_ecs_osaka-u_ac_jp/Documents/民井研/ppa/"/>
    </mc:Choice>
  </mc:AlternateContent>
  <xr:revisionPtr revIDLastSave="0" documentId="13_ncr:1_{438BA45E-44AA-EA4B-90E6-EF493AA2332A}" xr6:coauthVersionLast="47" xr6:coauthVersionMax="47" xr10:uidLastSave="{00000000-0000-0000-0000-000000000000}"/>
  <bookViews>
    <workbookView xWindow="-840" yWindow="760" windowWidth="30240" windowHeight="17120" xr2:uid="{00000000-000D-0000-FFFF-FFFF00000000}"/>
  </bookViews>
  <sheets>
    <sheet name="Ru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sYE5Xoi5XCT1edhP4aJXb4C60tC+ze2EnzDSVYZXIo="/>
    </ext>
  </extLst>
</workbook>
</file>

<file path=xl/calcChain.xml><?xml version="1.0" encoding="utf-8"?>
<calcChain xmlns="http://schemas.openxmlformats.org/spreadsheetml/2006/main">
  <c r="E36" i="1" l="1"/>
  <c r="E37" i="1"/>
  <c r="E38" i="1"/>
  <c r="E39" i="1"/>
  <c r="E40" i="1"/>
  <c r="E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9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ID#AAABgr_1S5Q
</t>
        </r>
        <r>
          <rPr>
            <sz val="10"/>
            <color rgb="FF000000"/>
            <rFont val="Arial"/>
            <family val="2"/>
          </rPr>
          <t xml:space="preserve">    (2025-03-21 03:02:53)
</t>
        </r>
        <r>
          <rPr>
            <sz val="10"/>
            <color rgb="FF000000"/>
            <rFont val="Arial"/>
            <family val="2"/>
          </rPr>
          <t xml:space="preserve">This RING_TRIM36 setting was used
</t>
        </r>
        <r>
          <rPr>
            <sz val="10"/>
            <color rgb="FF000000"/>
            <rFont val="Arial"/>
            <family val="2"/>
          </rPr>
          <t xml:space="preserve">	-Anonymous</t>
        </r>
      </text>
    </comment>
    <comment ref="A7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ID#AAABgr_1S5M
    (2025-03-21 03:02:53)
This FT-Phase setting was used
	-Anonymous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EMsJD+FUcC/RP6GVdMunpEpzbw=="/>
    </ext>
  </extLst>
</comments>
</file>

<file path=xl/sharedStrings.xml><?xml version="1.0" encoding="utf-8"?>
<sst xmlns="http://schemas.openxmlformats.org/spreadsheetml/2006/main" count="965" uniqueCount="189">
  <si>
    <t>E545</t>
  </si>
  <si>
    <t>Date</t>
  </si>
  <si>
    <t>Start Time</t>
  </si>
  <si>
    <t>Stop Time</t>
  </si>
  <si>
    <t>Duration</t>
  </si>
  <si>
    <t>Category</t>
  </si>
  <si>
    <t>Comment</t>
  </si>
  <si>
    <t>End Comment</t>
  </si>
  <si>
    <t>Target</t>
  </si>
  <si>
    <t>FC</t>
  </si>
  <si>
    <t>Beam Current</t>
  </si>
  <si>
    <t>BI Range</t>
  </si>
  <si>
    <t>Trigger Mode</t>
  </si>
  <si>
    <t>GR Single Sampling Rate</t>
  </si>
  <si>
    <t>LAS Single Sampling Rate</t>
  </si>
  <si>
    <t>GR TRG</t>
  </si>
  <si>
    <t>LAS TRG</t>
  </si>
  <si>
    <t>COIN</t>
  </si>
  <si>
    <t>GR CLK</t>
  </si>
  <si>
    <t xml:space="preserve"> GR CLK</t>
  </si>
  <si>
    <t>GR</t>
  </si>
  <si>
    <t>GR VDC</t>
  </si>
  <si>
    <t>LAS</t>
  </si>
  <si>
    <t>LAS VDC</t>
  </si>
  <si>
    <t>GR Pla</t>
  </si>
  <si>
    <t>LAS Pla</t>
  </si>
  <si>
    <t>BLP1</t>
  </si>
  <si>
    <t>BLP2</t>
  </si>
  <si>
    <t>Akimune</t>
  </si>
  <si>
    <t>Notification</t>
  </si>
  <si>
    <t>2024 Jun</t>
  </si>
  <si>
    <t xml:space="preserve"> </t>
  </si>
  <si>
    <t>nA</t>
  </si>
  <si>
    <t>Not GR Sampling in Ratemeters</t>
  </si>
  <si>
    <t>Not LAS Sampling in Ratemeters</t>
  </si>
  <si>
    <t>Req</t>
  </si>
  <si>
    <t>Live</t>
  </si>
  <si>
    <t>Angle</t>
  </si>
  <si>
    <t>Collimator</t>
  </si>
  <si>
    <t>D mag.</t>
  </si>
  <si>
    <t>Q1</t>
  </si>
  <si>
    <t>Current</t>
  </si>
  <si>
    <t>Cath.</t>
  </si>
  <si>
    <t>Pot.</t>
  </si>
  <si>
    <t>D Mag.</t>
  </si>
  <si>
    <t xml:space="preserve">Q </t>
  </si>
  <si>
    <t>Current 1</t>
  </si>
  <si>
    <t>Current 2</t>
  </si>
  <si>
    <t>1L HV</t>
  </si>
  <si>
    <t>1R HV</t>
  </si>
  <si>
    <t>2L HV</t>
  </si>
  <si>
    <t>2R HV</t>
  </si>
  <si>
    <t>3L HV</t>
  </si>
  <si>
    <t>3R HV</t>
  </si>
  <si>
    <t>4L HV</t>
  </si>
  <si>
    <t>4R HV</t>
  </si>
  <si>
    <t>5L HV</t>
  </si>
  <si>
    <t>5R HV</t>
  </si>
  <si>
    <t>6L HV</t>
  </si>
  <si>
    <t>6R HV</t>
  </si>
  <si>
    <t>Left</t>
  </si>
  <si>
    <t>Right</t>
  </si>
  <si>
    <t>Up</t>
  </si>
  <si>
    <t>Down</t>
  </si>
  <si>
    <t>Ctrl + ;</t>
  </si>
  <si>
    <t>Ctrl + Shift + ;</t>
  </si>
  <si>
    <t>hh:mm:ss</t>
  </si>
  <si>
    <t>Hz</t>
  </si>
  <si>
    <t>deg</t>
  </si>
  <si>
    <t>mT</t>
  </si>
  <si>
    <t>A</t>
  </si>
  <si>
    <t>mA</t>
  </si>
  <si>
    <t>V</t>
  </si>
  <si>
    <t>Example</t>
  </si>
  <si>
    <t>Physics</t>
  </si>
  <si>
    <t>40Ca(p,pa), thetaCM=60deg, GR 1/50, LAS 1/100</t>
  </si>
  <si>
    <t>Blank</t>
  </si>
  <si>
    <t>GR+LAS</t>
  </si>
  <si>
    <t>10k</t>
  </si>
  <si>
    <t>LR50UD60</t>
  </si>
  <si>
    <t>SC</t>
  </si>
  <si>
    <t>204Pb</t>
  </si>
  <si>
    <t>Wall</t>
  </si>
  <si>
    <t>Calib</t>
  </si>
  <si>
    <t>brhoを100%に変更</t>
  </si>
  <si>
    <t>Sieve</t>
  </si>
  <si>
    <t>brhoを+101%に変更</t>
  </si>
  <si>
    <t>brhoを+102%に変更</t>
  </si>
  <si>
    <t>brhoを+102%に変更、AKIMUNEを抜いた</t>
  </si>
  <si>
    <t>GR Single</t>
  </si>
  <si>
    <t>16k</t>
  </si>
  <si>
    <t>junk</t>
  </si>
  <si>
    <t>brhoを+99%に変更（途中で磁場設定が変わってしまった）</t>
  </si>
  <si>
    <t>brhoを+98%に変更</t>
  </si>
  <si>
    <t>brhoを+99%に変更（再度データを取り直す）</t>
  </si>
  <si>
    <t>DAQtest</t>
  </si>
  <si>
    <t>natC</t>
  </si>
  <si>
    <t>Detector tuning GR+LAS M-MsettingFC SC =&gt; Wall, natC GRPla, 1L 2500 1R 2700, 2 2700V, 3 off, LASPla, 3000V, trig=GR_PS2 &amp; LAS_PS 1, sh5=+-0.4mm</t>
  </si>
  <si>
    <t>DAQ test</t>
  </si>
  <si>
    <t>VDC pla2 or Las pla1に変更</t>
  </si>
  <si>
    <t>LAS 4400V -&gt; 4500V に変更</t>
  </si>
  <si>
    <t>今までLAS側にシーブスリットが入っていた。</t>
  </si>
  <si>
    <t>LAS側にシーブスリットを抜いた。</t>
  </si>
  <si>
    <t>53k</t>
  </si>
  <si>
    <t>300k</t>
  </si>
  <si>
    <t>LAS側のPlaを変更。</t>
  </si>
  <si>
    <t>LAS側のPla1800V, 2000Vに変更</t>
  </si>
  <si>
    <t>70k</t>
  </si>
  <si>
    <t>100k</t>
  </si>
  <si>
    <t>トリガーをLASpla1 and GRpla2に変更</t>
  </si>
  <si>
    <t>50k</t>
  </si>
  <si>
    <t>GR pla2  2900V-&gt;1800V</t>
  </si>
  <si>
    <t>2900-&gt;1800</t>
  </si>
  <si>
    <t>2900-&gt;1801</t>
  </si>
  <si>
    <t>GR pla2  1800V     LAS VDC  ON(4500V)</t>
  </si>
  <si>
    <t>LAS pla3L,3R  1500V</t>
  </si>
  <si>
    <t>LAS pla3L,3R  1700V</t>
  </si>
  <si>
    <t>LAS pla3L,3R  2000V</t>
  </si>
  <si>
    <t>LAS pla3L,3R  2300V</t>
  </si>
  <si>
    <t>LAS pla3L,3R  2500V</t>
  </si>
  <si>
    <t>natC(p,pa)</t>
  </si>
  <si>
    <t>mylar(p.pa)</t>
  </si>
  <si>
    <t>Mylar</t>
  </si>
  <si>
    <t>Changing HV of LAS VDC</t>
  </si>
  <si>
    <t>4500-&gt;4600V</t>
  </si>
  <si>
    <t>natC(p,pa)  LAS VDC HV 4600-&gt;4700V</t>
  </si>
  <si>
    <t>4600, 4700</t>
  </si>
  <si>
    <t xml:space="preserve">natC(p,pa) LAS VDC HV4500V </t>
  </si>
  <si>
    <t>Beam down / Beam tuning after this</t>
  </si>
  <si>
    <t>2k</t>
  </si>
  <si>
    <t>260k</t>
  </si>
  <si>
    <t>mylar(p.pa) Wall FC calibration 1.2nA</t>
  </si>
  <si>
    <t>mylar(p.pa) SC FC calibration 1.2nA</t>
  </si>
  <si>
    <t>JUNK</t>
  </si>
  <si>
    <t>Mylar(p,pa) Wall FC 2nA calib run</t>
  </si>
  <si>
    <t>Mylar(p,pa) SC FC 2nA calib run</t>
  </si>
  <si>
    <t>208Pb(p,pa)</t>
  </si>
  <si>
    <t>208Pb</t>
  </si>
  <si>
    <t>LAS D magnet value is changing..</t>
  </si>
  <si>
    <t>Beam Down</t>
  </si>
  <si>
    <t>natC(p,pa) sieve slit eith GR or LAS trigger</t>
  </si>
  <si>
    <t>3/31 mesurment restart</t>
  </si>
  <si>
    <t>208Pb(p,p) GR singles trigger, resolution check</t>
  </si>
  <si>
    <t>208Pb(p,p) GR singles trigger, resolution check sh5+-1mm</t>
  </si>
  <si>
    <t>208Pb(p,p) GR singles trigger, resolution check sh5+-0.5mm</t>
  </si>
  <si>
    <t>208Pb(p,p) GR singles trigger, resolution check sh5+-2mm</t>
  </si>
  <si>
    <t>208Pb(p,p) GR singles trigger, resolution check sh5+-4mm</t>
  </si>
  <si>
    <t>208Pb(p,p) GR singles trigger, dispersion sh5+-0.5 ratio 100%</t>
  </si>
  <si>
    <t>208Pb(p,p) GR singles trigger, dispersion sh5+-0.5 ratio 101%</t>
  </si>
  <si>
    <t>comment in the data is wrong, 101% is true.</t>
  </si>
  <si>
    <t>208Pb(p,p) GR singles trigger, dispersion sh5+-0.5 ratio 97.5%</t>
  </si>
  <si>
    <t>208Pb(p,p) GR singles trigger, dispersion sh5+-0.5 ratio 98.5%</t>
  </si>
  <si>
    <t>208Pb(p,p) GR singles trigger, dispersion sh5+-0.5 ratio 99%</t>
  </si>
  <si>
    <t>208Pb(p,pa) GR or LAS trigger, GR28/LAS58.56, LAS check</t>
  </si>
  <si>
    <t>Junk  trigger setting is wrong,</t>
  </si>
  <si>
    <t>GR or LAS</t>
  </si>
  <si>
    <t>Tuning</t>
  </si>
  <si>
    <t>208Pb(p,pa) GR or LAS trigger, GR46.26/LAS58.56, LAS check</t>
  </si>
  <si>
    <t>LAS VDC1P-HV wrong</t>
  </si>
  <si>
    <t>NO Beam</t>
  </si>
  <si>
    <t>natC(p,pa) GR46.26/LAS58.56, GR and LAS trigger LAS check</t>
  </si>
  <si>
    <t>natC(p,pa) GR46.26/LAS58.56, GR and LAS trigger</t>
  </si>
  <si>
    <t>Mylar(p,pa) GR46.26/LAS58.56, GR and LAS trigger</t>
  </si>
  <si>
    <t>Mylar(p,pa) GR46.26 / LAS58.56 GR and LAS trigger, LASHV=4800, beam 2nA ,FC caslibratipn</t>
  </si>
  <si>
    <t>beam current is 2nA , Wall FC calibration run</t>
  </si>
  <si>
    <t>Mylar(p,pa) GR46.26 / LAS58.56 GR and LAS trigger, LASHV=4800, beam 2nA ,FC caslibratipn SC</t>
  </si>
  <si>
    <t>beam current is 2nA , SC FC calibration run</t>
  </si>
  <si>
    <t>Mylar(p,pa) GR46.26 / LAS58.56 GR and LAS trigger, LASHV=4800, beam 100nA</t>
  </si>
  <si>
    <t>after this run, changed to viewer, and then we found that beam spot was different.</t>
  </si>
  <si>
    <t>Pb208(p,pa) GR46.26 / LAS58.56 GR and LAS trigger, LASHV=4800, beam 170nA, SH5 1mm</t>
  </si>
  <si>
    <t>16:56 RF Down</t>
  </si>
  <si>
    <t>FC calib (Wall) GR46.26 / LAS58.56 GR and LAS trigger, LASHV=4800, beam 2nA, SH5 1mm</t>
  </si>
  <si>
    <t>target is natC, Wall FC calibration with 2nA</t>
  </si>
  <si>
    <t>FC calib (SC) GR46.26 / LAS58.56 GR and LAS trigger, LASHV=4800, beam 2nA, SH5 1mm</t>
  </si>
  <si>
    <t>beam current was mostly above 3nA</t>
  </si>
  <si>
    <t>Pb208(p,pa) GR46.26 / LAS58.56 GR and LAS trigger, LASHV=4800, beam 180nA, SH5 1mm</t>
  </si>
  <si>
    <t>Pb208(p,pa) GR46.26 / LAS58.56 GR and LAS trigger, LASHV=4800, beam 180nA, SH5 1mm, add same gas</t>
  </si>
  <si>
    <t>D1magnet is Down</t>
  </si>
  <si>
    <t>FC-Wall Calib with 3nA beam</t>
  </si>
  <si>
    <t>FC-SC Calib with 4nA beam</t>
  </si>
  <si>
    <t>Pb204(p,pa) GR46.26 / LAS58.56 GR and LAS trigger, LASHV=4800, beam 180nA, SH5 1mm</t>
  </si>
  <si>
    <t>12C(p,pa) GR46.26 / LAS58.56 GR and LAS trigger, LASHV=4800, beam 250nA, SH5 2mm, LAS sieve GR Blank</t>
  </si>
  <si>
    <t>12C(p,pa) GR46.26 / LAS58.56 GR and LAS trigger, LASHV=4800, beam 250nA, SH5 2mm, LAS sieve GR sieve</t>
  </si>
  <si>
    <t>DAQ test data with sieve</t>
  </si>
  <si>
    <t>DAQ test data without sieve</t>
  </si>
  <si>
    <t>physics mesurment is completed !</t>
    <phoneticPr fontId="10"/>
  </si>
  <si>
    <t>natC(p,pa) GR46.26/LAS58.56, GR and LAS trigger</t>
    <phoneticPr fontId="10"/>
  </si>
  <si>
    <r>
      <t>run comment is wrong (natC(p,pa)</t>
    </r>
    <r>
      <rPr>
        <sz val="10"/>
        <color rgb="FFFF0000"/>
        <rFont val="MS Gothic"/>
        <family val="2"/>
        <charset val="128"/>
      </rPr>
      <t>ではなく</t>
    </r>
    <r>
      <rPr>
        <sz val="10"/>
        <color rgb="FFFF0000"/>
        <rFont val="Arial"/>
        <family val="2"/>
      </rPr>
      <t>Mylar)</t>
    </r>
    <phoneticPr fontId="10"/>
  </si>
  <si>
    <t>Mylar(p,pa) GR46.26 / LAS58.56 GR and LAS trigger, LASHV=4800, beam 100nA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</si>
</sst>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70C0"/>
      <name val="Arial"/>
      <family val="2"/>
    </font>
    <font>
      <sz val="10"/>
      <color rgb="FF000000"/>
      <name val="Arial"/>
      <family val="2"/>
      <scheme val="minor"/>
    </font>
    <font>
      <sz val="10"/>
      <color rgb="FF7030A0"/>
      <name val="Arial"/>
      <family val="2"/>
    </font>
    <font>
      <sz val="10"/>
      <color rgb="FF00B050"/>
      <name val="Arial"/>
      <family val="2"/>
    </font>
    <font>
      <sz val="10"/>
      <color theme="7"/>
      <name val="Arial"/>
      <family val="2"/>
    </font>
    <font>
      <sz val="6"/>
      <name val="Arial"/>
      <family val="3"/>
      <charset val="128"/>
      <scheme val="minor"/>
    </font>
    <font>
      <sz val="10"/>
      <color rgb="FF7030A0"/>
      <name val="Arial (本文)"/>
      <family val="3"/>
      <charset val="128"/>
    </font>
    <font>
      <sz val="10"/>
      <color rgb="FFFF0000"/>
      <name val="Arial (本文)"/>
      <family val="3"/>
      <charset val="128"/>
    </font>
    <font>
      <sz val="10"/>
      <color rgb="FF0070C0"/>
      <name val="Arial (本文)"/>
      <family val="3"/>
      <charset val="128"/>
    </font>
    <font>
      <sz val="10"/>
      <color rgb="FFFF0000"/>
      <name val="MS Gothic"/>
      <family val="2"/>
      <charset val="128"/>
    </font>
    <font>
      <sz val="10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00B050"/>
        <bgColor rgb="FF00B050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666666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666666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666666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/>
    <xf numFmtId="46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19" fontId="1" fillId="3" borderId="1" xfId="0" applyNumberFormat="1" applyFont="1" applyFill="1" applyBorder="1"/>
    <xf numFmtId="46" fontId="1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/>
    <xf numFmtId="14" fontId="1" fillId="0" borderId="0" xfId="0" applyNumberFormat="1" applyFont="1"/>
    <xf numFmtId="21" fontId="1" fillId="0" borderId="0" xfId="0" applyNumberFormat="1" applyFont="1"/>
    <xf numFmtId="46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4" fillId="0" borderId="6" xfId="0" applyFont="1" applyBorder="1"/>
    <xf numFmtId="0" fontId="4" fillId="0" borderId="0" xfId="0" applyFont="1"/>
    <xf numFmtId="20" fontId="1" fillId="0" borderId="0" xfId="0" applyNumberFormat="1" applyFont="1"/>
    <xf numFmtId="20" fontId="3" fillId="0" borderId="0" xfId="0" applyNumberFormat="1" applyFont="1"/>
    <xf numFmtId="0" fontId="5" fillId="0" borderId="0" xfId="0" applyFont="1"/>
    <xf numFmtId="3" fontId="1" fillId="0" borderId="0" xfId="0" applyNumberFormat="1" applyFont="1"/>
    <xf numFmtId="0" fontId="1" fillId="4" borderId="4" xfId="0" applyFont="1" applyFill="1" applyBorder="1"/>
    <xf numFmtId="21" fontId="4" fillId="0" borderId="0" xfId="0" applyNumberFormat="1" applyFont="1"/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14" fontId="4" fillId="0" borderId="0" xfId="0" applyNumberFormat="1" applyFont="1"/>
    <xf numFmtId="0" fontId="6" fillId="0" borderId="0" xfId="0" applyFont="1"/>
    <xf numFmtId="46" fontId="4" fillId="0" borderId="0" xfId="0" applyNumberFormat="1" applyFont="1"/>
    <xf numFmtId="21" fontId="3" fillId="0" borderId="0" xfId="0" applyNumberFormat="1" applyFont="1"/>
    <xf numFmtId="0" fontId="1" fillId="5" borderId="4" xfId="0" applyFont="1" applyFill="1" applyBorder="1"/>
    <xf numFmtId="0" fontId="1" fillId="6" borderId="0" xfId="0" applyFont="1" applyFill="1"/>
    <xf numFmtId="14" fontId="1" fillId="6" borderId="0" xfId="0" applyNumberFormat="1" applyFont="1" applyFill="1"/>
    <xf numFmtId="21" fontId="1" fillId="6" borderId="0" xfId="0" applyNumberFormat="1" applyFont="1" applyFill="1"/>
    <xf numFmtId="46" fontId="1" fillId="6" borderId="0" xfId="0" applyNumberFormat="1" applyFont="1" applyFill="1"/>
    <xf numFmtId="0" fontId="1" fillId="6" borderId="4" xfId="0" applyFont="1" applyFill="1" applyBorder="1"/>
    <xf numFmtId="0" fontId="3" fillId="6" borderId="0" xfId="0" applyFont="1" applyFill="1"/>
    <xf numFmtId="0" fontId="1" fillId="6" borderId="5" xfId="0" applyFont="1" applyFill="1" applyBorder="1"/>
    <xf numFmtId="21" fontId="5" fillId="0" borderId="0" xfId="0" applyNumberFormat="1" applyFont="1"/>
    <xf numFmtId="0" fontId="1" fillId="7" borderId="4" xfId="0" applyFont="1" applyFill="1" applyBorder="1"/>
    <xf numFmtId="0" fontId="1" fillId="8" borderId="4" xfId="0" applyFont="1" applyFill="1" applyBorder="1"/>
    <xf numFmtId="14" fontId="2" fillId="0" borderId="0" xfId="0" applyNumberFormat="1" applyFont="1"/>
    <xf numFmtId="21" fontId="2" fillId="0" borderId="0" xfId="0" applyNumberFormat="1" applyFont="1"/>
    <xf numFmtId="46" fontId="2" fillId="0" borderId="0" xfId="0" applyNumberFormat="1" applyFont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7" fillId="0" borderId="0" xfId="0" applyFont="1"/>
    <xf numFmtId="0" fontId="8" fillId="0" borderId="0" xfId="0" applyFont="1"/>
    <xf numFmtId="0" fontId="4" fillId="9" borderId="1" xfId="0" applyFont="1" applyFill="1" applyBorder="1"/>
    <xf numFmtId="0" fontId="9" fillId="0" borderId="0" xfId="0" applyFont="1"/>
    <xf numFmtId="0" fontId="2" fillId="10" borderId="4" xfId="0" applyFont="1" applyFill="1" applyBorder="1"/>
    <xf numFmtId="0" fontId="1" fillId="11" borderId="0" xfId="0" applyFont="1" applyFill="1"/>
    <xf numFmtId="14" fontId="4" fillId="11" borderId="0" xfId="0" applyNumberFormat="1" applyFont="1" applyFill="1"/>
    <xf numFmtId="21" fontId="1" fillId="11" borderId="0" xfId="0" applyNumberFormat="1" applyFont="1" applyFill="1"/>
    <xf numFmtId="46" fontId="1" fillId="11" borderId="0" xfId="0" applyNumberFormat="1" applyFont="1" applyFill="1"/>
    <xf numFmtId="0" fontId="1" fillId="11" borderId="4" xfId="0" applyFont="1" applyFill="1" applyBorder="1"/>
    <xf numFmtId="0" fontId="3" fillId="11" borderId="0" xfId="0" applyFont="1" applyFill="1"/>
    <xf numFmtId="0" fontId="4" fillId="11" borderId="0" xfId="0" applyFont="1" applyFill="1"/>
    <xf numFmtId="0" fontId="0" fillId="11" borderId="0" xfId="0" applyFill="1"/>
    <xf numFmtId="0" fontId="6" fillId="11" borderId="0" xfId="0" applyFont="1" applyFill="1"/>
    <xf numFmtId="0" fontId="4" fillId="11" borderId="4" xfId="0" applyFont="1" applyFill="1" applyBorder="1"/>
    <xf numFmtId="0" fontId="1" fillId="11" borderId="5" xfId="0" applyFont="1" applyFill="1" applyBorder="1"/>
    <xf numFmtId="0" fontId="11" fillId="0" borderId="0" xfId="0" applyFont="1"/>
    <xf numFmtId="14" fontId="11" fillId="0" borderId="0" xfId="0" applyNumberFormat="1" applyFont="1"/>
    <xf numFmtId="21" fontId="11" fillId="0" borderId="0" xfId="0" applyNumberFormat="1" applyFont="1"/>
    <xf numFmtId="46" fontId="11" fillId="0" borderId="0" xfId="0" applyNumberFormat="1" applyFont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20" fontId="11" fillId="0" borderId="0" xfId="0" applyNumberFormat="1" applyFont="1"/>
    <xf numFmtId="0" fontId="12" fillId="0" borderId="0" xfId="0" applyFont="1"/>
    <xf numFmtId="14" fontId="12" fillId="0" borderId="0" xfId="0" applyNumberFormat="1" applyFont="1"/>
    <xf numFmtId="21" fontId="12" fillId="0" borderId="0" xfId="0" applyNumberFormat="1" applyFont="1"/>
    <xf numFmtId="46" fontId="12" fillId="0" borderId="0" xfId="0" applyNumberFormat="1" applyFont="1"/>
    <xf numFmtId="0" fontId="12" fillId="0" borderId="4" xfId="0" applyFont="1" applyBorder="1"/>
    <xf numFmtId="0" fontId="12" fillId="0" borderId="5" xfId="0" applyFont="1" applyBorder="1"/>
    <xf numFmtId="0" fontId="13" fillId="0" borderId="0" xfId="0" applyFont="1"/>
    <xf numFmtId="14" fontId="13" fillId="0" borderId="0" xfId="0" applyNumberFormat="1" applyFont="1"/>
    <xf numFmtId="21" fontId="13" fillId="0" borderId="0" xfId="0" applyNumberFormat="1" applyFont="1"/>
    <xf numFmtId="46" fontId="13" fillId="0" borderId="0" xfId="0" applyNumberFormat="1" applyFont="1"/>
    <xf numFmtId="0" fontId="13" fillId="0" borderId="4" xfId="0" applyFont="1" applyBorder="1"/>
    <xf numFmtId="0" fontId="13" fillId="0" borderId="5" xfId="0" applyFont="1" applyBorder="1"/>
    <xf numFmtId="0" fontId="15" fillId="0" borderId="0" xfId="0" applyFont="1"/>
  </cellXfs>
  <cellStyles count="1">
    <cellStyle name="Normal" xfId="0" builtinId="0"/>
  </cellStyles>
  <dxfs count="2">
    <dxf>
      <font>
        <b/>
        <color rgb="FFFF0000"/>
      </font>
      <fill>
        <patternFill patternType="solid">
          <fgColor rgb="FFFFF2CC"/>
          <bgColor rgb="FFFFF2CC"/>
        </patternFill>
      </fill>
    </dxf>
    <dxf>
      <font>
        <b/>
        <color rgb="FFFF00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953"/>
  <sheetViews>
    <sheetView tabSelected="1" zoomScaleNormal="100" workbookViewId="0">
      <pane xSplit="1" ySplit="4" topLeftCell="B116" activePane="bottomRight" state="frozen"/>
      <selection pane="topRight" activeCell="B1" sqref="B1"/>
      <selection pane="bottomLeft" activeCell="A5" sqref="A5"/>
      <selection pane="bottomRight" activeCell="K1" sqref="K1"/>
    </sheetView>
  </sheetViews>
  <sheetFormatPr baseColWidth="10" defaultColWidth="12.6640625" defaultRowHeight="15" customHeight="1" x14ac:dyDescent="0.15"/>
  <cols>
    <col min="1" max="1" width="8.83203125" customWidth="1"/>
    <col min="2" max="2" width="11.6640625" customWidth="1"/>
    <col min="3" max="3" width="12.33203125" customWidth="1"/>
    <col min="4" max="4" width="13.1640625" customWidth="1"/>
    <col min="5" max="5" width="8.6640625" customWidth="1"/>
    <col min="6" max="6" width="12.5" customWidth="1"/>
    <col min="7" max="7" width="55.33203125" customWidth="1"/>
    <col min="8" max="8" width="52.6640625" customWidth="1"/>
    <col min="9" max="9" width="9.83203125" customWidth="1"/>
    <col min="10" max="10" width="9" customWidth="1"/>
    <col min="11" max="11" width="10.6640625" customWidth="1"/>
    <col min="12" max="12" width="8.1640625" customWidth="1"/>
    <col min="13" max="13" width="12" customWidth="1"/>
    <col min="14" max="14" width="22.5" customWidth="1"/>
    <col min="15" max="15" width="23.33203125" customWidth="1"/>
    <col min="16" max="22" width="8.1640625" customWidth="1"/>
    <col min="23" max="37" width="7.6640625" customWidth="1"/>
    <col min="38" max="39" width="6.1640625" customWidth="1"/>
    <col min="40" max="40" width="7.6640625" customWidth="1"/>
    <col min="41" max="41" width="8" customWidth="1"/>
    <col min="42" max="57" width="6.1640625" customWidth="1"/>
    <col min="58" max="60" width="7.1640625" customWidth="1"/>
    <col min="61" max="61" width="7" customWidth="1"/>
    <col min="62" max="64" width="38.6640625" customWidth="1"/>
  </cols>
  <sheetData>
    <row r="1" spans="1:6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15</v>
      </c>
      <c r="R1" s="1" t="s">
        <v>16</v>
      </c>
      <c r="S1" s="1" t="s">
        <v>16</v>
      </c>
      <c r="T1" s="1" t="s">
        <v>17</v>
      </c>
      <c r="U1" s="1" t="s">
        <v>18</v>
      </c>
      <c r="V1" s="3" t="s">
        <v>19</v>
      </c>
      <c r="W1" s="1" t="s">
        <v>20</v>
      </c>
      <c r="X1" s="1" t="s">
        <v>20</v>
      </c>
      <c r="Y1" s="1" t="s">
        <v>20</v>
      </c>
      <c r="Z1" s="1" t="s">
        <v>20</v>
      </c>
      <c r="AA1" s="1" t="s">
        <v>21</v>
      </c>
      <c r="AB1" s="1" t="s">
        <v>21</v>
      </c>
      <c r="AC1" s="3" t="s">
        <v>21</v>
      </c>
      <c r="AD1" s="1" t="s">
        <v>22</v>
      </c>
      <c r="AE1" s="1" t="s">
        <v>22</v>
      </c>
      <c r="AF1" s="1" t="s">
        <v>22</v>
      </c>
      <c r="AG1" s="1" t="s">
        <v>22</v>
      </c>
      <c r="AH1" s="1" t="s">
        <v>23</v>
      </c>
      <c r="AI1" s="1" t="s">
        <v>23</v>
      </c>
      <c r="AJ1" s="1" t="s">
        <v>23</v>
      </c>
      <c r="AK1" s="3" t="s">
        <v>23</v>
      </c>
      <c r="AL1" s="1" t="s">
        <v>24</v>
      </c>
      <c r="AM1" s="1" t="s">
        <v>24</v>
      </c>
      <c r="AN1" s="1" t="s">
        <v>24</v>
      </c>
      <c r="AO1" s="3" t="s">
        <v>24</v>
      </c>
      <c r="AP1" s="1" t="s">
        <v>25</v>
      </c>
      <c r="AQ1" s="1" t="s">
        <v>25</v>
      </c>
      <c r="AR1" s="1" t="s">
        <v>25</v>
      </c>
      <c r="AS1" s="1" t="s">
        <v>25</v>
      </c>
      <c r="AT1" s="1" t="s">
        <v>25</v>
      </c>
      <c r="AU1" s="1" t="s">
        <v>25</v>
      </c>
      <c r="AV1" s="1" t="s">
        <v>25</v>
      </c>
      <c r="AW1" s="3" t="s">
        <v>25</v>
      </c>
      <c r="AX1" s="1" t="s">
        <v>26</v>
      </c>
      <c r="AY1" s="1"/>
      <c r="AZ1" s="1"/>
      <c r="BA1" s="4"/>
      <c r="BB1" s="1" t="s">
        <v>27</v>
      </c>
      <c r="BC1" s="1"/>
      <c r="BD1" s="1"/>
      <c r="BE1" s="4"/>
      <c r="BF1" s="1" t="s">
        <v>28</v>
      </c>
      <c r="BG1" s="1"/>
      <c r="BH1" s="1"/>
      <c r="BI1" s="3"/>
      <c r="BJ1" s="3" t="s">
        <v>29</v>
      </c>
      <c r="BK1" s="1"/>
      <c r="BL1" s="1"/>
    </row>
    <row r="2" spans="1:64" ht="15.75" customHeight="1" x14ac:dyDescent="0.15">
      <c r="A2" s="1" t="s">
        <v>30</v>
      </c>
      <c r="B2" s="1"/>
      <c r="C2" s="1"/>
      <c r="D2" s="1"/>
      <c r="E2" s="2" t="s">
        <v>31</v>
      </c>
      <c r="F2" s="3"/>
      <c r="G2" s="1"/>
      <c r="H2" s="3"/>
      <c r="I2" s="1"/>
      <c r="J2" s="1"/>
      <c r="K2" s="1" t="s">
        <v>32</v>
      </c>
      <c r="L2" s="1" t="s">
        <v>32</v>
      </c>
      <c r="M2" s="1"/>
      <c r="N2" s="5" t="s">
        <v>33</v>
      </c>
      <c r="O2" s="5" t="s">
        <v>34</v>
      </c>
      <c r="P2" s="1" t="s">
        <v>35</v>
      </c>
      <c r="Q2" s="1" t="s">
        <v>36</v>
      </c>
      <c r="R2" s="1" t="s">
        <v>35</v>
      </c>
      <c r="S2" s="1" t="s">
        <v>36</v>
      </c>
      <c r="T2" s="1" t="s">
        <v>35</v>
      </c>
      <c r="U2" s="1" t="s">
        <v>35</v>
      </c>
      <c r="V2" s="3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3" t="s">
        <v>43</v>
      </c>
      <c r="AD2" s="1" t="s">
        <v>37</v>
      </c>
      <c r="AE2" s="1" t="s">
        <v>38</v>
      </c>
      <c r="AF2" s="1" t="s">
        <v>44</v>
      </c>
      <c r="AG2" s="1" t="s">
        <v>45</v>
      </c>
      <c r="AH2" s="1" t="s">
        <v>46</v>
      </c>
      <c r="AI2" s="1" t="s">
        <v>47</v>
      </c>
      <c r="AJ2" s="1" t="s">
        <v>42</v>
      </c>
      <c r="AK2" s="3" t="s">
        <v>43</v>
      </c>
      <c r="AL2" s="1" t="s">
        <v>48</v>
      </c>
      <c r="AM2" s="1" t="s">
        <v>49</v>
      </c>
      <c r="AN2" s="1" t="s">
        <v>50</v>
      </c>
      <c r="AO2" s="3" t="s">
        <v>51</v>
      </c>
      <c r="AP2" s="1" t="s">
        <v>52</v>
      </c>
      <c r="AQ2" s="1" t="s">
        <v>53</v>
      </c>
      <c r="AR2" s="1" t="s">
        <v>54</v>
      </c>
      <c r="AS2" s="1" t="s">
        <v>55</v>
      </c>
      <c r="AT2" s="1" t="s">
        <v>56</v>
      </c>
      <c r="AU2" s="1" t="s">
        <v>57</v>
      </c>
      <c r="AV2" s="1" t="s">
        <v>58</v>
      </c>
      <c r="AW2" s="3" t="s">
        <v>59</v>
      </c>
      <c r="AX2" s="1" t="s">
        <v>60</v>
      </c>
      <c r="AY2" s="1" t="s">
        <v>61</v>
      </c>
      <c r="AZ2" s="1" t="s">
        <v>62</v>
      </c>
      <c r="BA2" s="4" t="s">
        <v>63</v>
      </c>
      <c r="BB2" s="1" t="s">
        <v>60</v>
      </c>
      <c r="BC2" s="1" t="s">
        <v>61</v>
      </c>
      <c r="BD2" s="1" t="s">
        <v>62</v>
      </c>
      <c r="BE2" s="4" t="s">
        <v>63</v>
      </c>
      <c r="BF2" s="1" t="s">
        <v>62</v>
      </c>
      <c r="BG2" s="1" t="s">
        <v>63</v>
      </c>
      <c r="BH2" s="1" t="s">
        <v>60</v>
      </c>
      <c r="BI2" s="3" t="s">
        <v>61</v>
      </c>
      <c r="BJ2" s="3"/>
      <c r="BK2" s="1"/>
      <c r="BL2" s="1"/>
    </row>
    <row r="3" spans="1:64" ht="15.75" customHeight="1" x14ac:dyDescent="0.15">
      <c r="A3" s="1"/>
      <c r="B3" s="1" t="s">
        <v>64</v>
      </c>
      <c r="C3" s="1" t="s">
        <v>65</v>
      </c>
      <c r="D3" s="1" t="s">
        <v>65</v>
      </c>
      <c r="E3" s="2" t="s">
        <v>66</v>
      </c>
      <c r="F3" s="3"/>
      <c r="G3" s="1"/>
      <c r="H3" s="3"/>
      <c r="I3" s="1"/>
      <c r="J3" s="1"/>
      <c r="K3" s="1"/>
      <c r="L3" s="1"/>
      <c r="M3" s="1"/>
      <c r="N3" s="1"/>
      <c r="O3" s="3"/>
      <c r="P3" s="1" t="s">
        <v>67</v>
      </c>
      <c r="Q3" s="1" t="s">
        <v>67</v>
      </c>
      <c r="R3" s="1" t="s">
        <v>67</v>
      </c>
      <c r="S3" s="1" t="s">
        <v>67</v>
      </c>
      <c r="T3" s="1" t="s">
        <v>67</v>
      </c>
      <c r="U3" s="1" t="s">
        <v>67</v>
      </c>
      <c r="V3" s="3" t="s">
        <v>67</v>
      </c>
      <c r="W3" s="1" t="s">
        <v>68</v>
      </c>
      <c r="X3" s="1"/>
      <c r="Y3" s="1" t="s">
        <v>69</v>
      </c>
      <c r="Z3" s="1" t="s">
        <v>70</v>
      </c>
      <c r="AA3" s="1" t="s">
        <v>71</v>
      </c>
      <c r="AB3" s="1" t="s">
        <v>72</v>
      </c>
      <c r="AC3" s="3" t="s">
        <v>72</v>
      </c>
      <c r="AD3" s="1" t="s">
        <v>68</v>
      </c>
      <c r="AE3" s="1"/>
      <c r="AF3" s="1" t="s">
        <v>69</v>
      </c>
      <c r="AG3" s="1" t="s">
        <v>70</v>
      </c>
      <c r="AH3" s="1" t="s">
        <v>71</v>
      </c>
      <c r="AI3" s="1" t="s">
        <v>71</v>
      </c>
      <c r="AJ3" s="1" t="s">
        <v>72</v>
      </c>
      <c r="AK3" s="3" t="s">
        <v>72</v>
      </c>
      <c r="AL3" s="1" t="s">
        <v>72</v>
      </c>
      <c r="AM3" s="1" t="s">
        <v>72</v>
      </c>
      <c r="AN3" s="1" t="s">
        <v>72</v>
      </c>
      <c r="AO3" s="3" t="s">
        <v>72</v>
      </c>
      <c r="AP3" s="1" t="s">
        <v>72</v>
      </c>
      <c r="AQ3" s="1" t="s">
        <v>72</v>
      </c>
      <c r="AR3" s="1" t="s">
        <v>72</v>
      </c>
      <c r="AS3" s="1" t="s">
        <v>72</v>
      </c>
      <c r="AT3" s="1" t="s">
        <v>72</v>
      </c>
      <c r="AU3" s="1" t="s">
        <v>72</v>
      </c>
      <c r="AV3" s="1" t="s">
        <v>72</v>
      </c>
      <c r="AW3" s="3" t="s">
        <v>72</v>
      </c>
      <c r="AX3" s="1" t="s">
        <v>67</v>
      </c>
      <c r="AY3" s="1" t="s">
        <v>67</v>
      </c>
      <c r="AZ3" s="1" t="s">
        <v>67</v>
      </c>
      <c r="BA3" s="4" t="s">
        <v>67</v>
      </c>
      <c r="BB3" s="1" t="s">
        <v>67</v>
      </c>
      <c r="BC3" s="1" t="s">
        <v>67</v>
      </c>
      <c r="BD3" s="1" t="s">
        <v>67</v>
      </c>
      <c r="BE3" s="4" t="s">
        <v>67</v>
      </c>
      <c r="BF3" s="1" t="s">
        <v>67</v>
      </c>
      <c r="BG3" s="1" t="s">
        <v>67</v>
      </c>
      <c r="BH3" s="1" t="s">
        <v>67</v>
      </c>
      <c r="BI3" s="3" t="s">
        <v>67</v>
      </c>
      <c r="BJ3" s="3"/>
      <c r="BK3" s="1"/>
      <c r="BL3" s="1"/>
    </row>
    <row r="4" spans="1:64" ht="15.75" customHeight="1" x14ac:dyDescent="0.15">
      <c r="A4" s="6" t="s">
        <v>73</v>
      </c>
      <c r="B4" s="7">
        <v>45374</v>
      </c>
      <c r="C4" s="8">
        <v>0.44148695601325016</v>
      </c>
      <c r="D4" s="8">
        <v>0.44152167823631316</v>
      </c>
      <c r="E4" s="9">
        <f>IF(D4-C4&gt;0,D4-C4,"24:00:00"-C4+D4)</f>
        <v>3.4722223062999547E-5</v>
      </c>
      <c r="F4" s="10" t="s">
        <v>74</v>
      </c>
      <c r="G4" s="6" t="s">
        <v>75</v>
      </c>
      <c r="H4" s="10"/>
      <c r="I4" s="6" t="s">
        <v>76</v>
      </c>
      <c r="J4" s="6"/>
      <c r="K4" s="6">
        <v>64</v>
      </c>
      <c r="L4" s="6">
        <v>200</v>
      </c>
      <c r="M4" s="6" t="s">
        <v>77</v>
      </c>
      <c r="N4" s="6">
        <v>10</v>
      </c>
      <c r="O4" s="10">
        <v>100</v>
      </c>
      <c r="P4" s="6">
        <v>2908.7</v>
      </c>
      <c r="Q4" s="6">
        <v>2806</v>
      </c>
      <c r="R4" s="6">
        <v>33577.599999999999</v>
      </c>
      <c r="S4" s="6">
        <v>32307</v>
      </c>
      <c r="T4" s="6">
        <v>91.7</v>
      </c>
      <c r="U4" s="6" t="s">
        <v>78</v>
      </c>
      <c r="V4" s="10">
        <v>9716</v>
      </c>
      <c r="W4" s="6">
        <v>43.27</v>
      </c>
      <c r="X4" s="6" t="s">
        <v>76</v>
      </c>
      <c r="Y4" s="6">
        <v>631.09</v>
      </c>
      <c r="Z4" s="6">
        <v>114.298</v>
      </c>
      <c r="AA4" s="6">
        <v>0.56499999999999995</v>
      </c>
      <c r="AB4" s="6">
        <v>5700</v>
      </c>
      <c r="AC4" s="10">
        <v>300</v>
      </c>
      <c r="AD4" s="6">
        <v>54.35</v>
      </c>
      <c r="AE4" s="6" t="s">
        <v>79</v>
      </c>
      <c r="AF4" s="6">
        <v>912.23199999999997</v>
      </c>
      <c r="AG4" s="6"/>
      <c r="AH4" s="6">
        <v>0.1</v>
      </c>
      <c r="AI4" s="6">
        <v>2.5000000000000001E-2</v>
      </c>
      <c r="AJ4" s="6">
        <v>4550</v>
      </c>
      <c r="AK4" s="10">
        <v>310</v>
      </c>
      <c r="AL4" s="6">
        <v>2000</v>
      </c>
      <c r="AM4" s="6">
        <v>2300</v>
      </c>
      <c r="AN4" s="6">
        <v>2000</v>
      </c>
      <c r="AO4" s="10">
        <v>2000</v>
      </c>
      <c r="AP4" s="6">
        <v>2300</v>
      </c>
      <c r="AQ4" s="6">
        <v>2300</v>
      </c>
      <c r="AR4" s="6">
        <v>2500</v>
      </c>
      <c r="AS4" s="6">
        <v>2450</v>
      </c>
      <c r="AT4" s="6">
        <v>2500</v>
      </c>
      <c r="AU4" s="6">
        <v>2700</v>
      </c>
      <c r="AV4" s="6">
        <v>2350</v>
      </c>
      <c r="AW4" s="10">
        <v>2500</v>
      </c>
      <c r="AX4" s="6">
        <v>0</v>
      </c>
      <c r="AY4" s="6">
        <v>0</v>
      </c>
      <c r="AZ4" s="6">
        <v>0</v>
      </c>
      <c r="BA4" s="11">
        <v>1</v>
      </c>
      <c r="BB4" s="6">
        <v>0</v>
      </c>
      <c r="BC4" s="6">
        <v>0</v>
      </c>
      <c r="BD4" s="6">
        <v>0</v>
      </c>
      <c r="BE4" s="11">
        <v>1</v>
      </c>
      <c r="BF4" s="6">
        <v>1809</v>
      </c>
      <c r="BG4" s="6">
        <v>654</v>
      </c>
      <c r="BH4" s="6">
        <v>1450</v>
      </c>
      <c r="BI4" s="10">
        <v>2142</v>
      </c>
      <c r="BJ4" s="10"/>
      <c r="BK4" s="6"/>
      <c r="BL4" s="6"/>
    </row>
    <row r="5" spans="1:64" s="67" customFormat="1" ht="15.75" customHeight="1" x14ac:dyDescent="0.15">
      <c r="A5" s="67">
        <v>9</v>
      </c>
      <c r="B5" s="68">
        <v>45737</v>
      </c>
      <c r="C5" s="69"/>
      <c r="D5" s="69"/>
      <c r="E5" s="70"/>
      <c r="F5" s="71" t="s">
        <v>83</v>
      </c>
      <c r="G5" s="67" t="s">
        <v>84</v>
      </c>
      <c r="H5" s="71"/>
      <c r="I5" s="67" t="s">
        <v>81</v>
      </c>
      <c r="J5" s="67" t="s">
        <v>82</v>
      </c>
      <c r="O5" s="71"/>
      <c r="V5" s="71"/>
      <c r="W5" s="67">
        <v>28</v>
      </c>
      <c r="X5" s="67" t="s">
        <v>76</v>
      </c>
      <c r="Y5" s="67">
        <v>1047.6559999999999</v>
      </c>
      <c r="Z5" s="67">
        <v>125.741</v>
      </c>
      <c r="AA5" s="67">
        <v>2.0000000000000001E-4</v>
      </c>
      <c r="AB5" s="67">
        <v>5800</v>
      </c>
      <c r="AC5" s="71">
        <v>300</v>
      </c>
      <c r="AE5" s="67" t="s">
        <v>85</v>
      </c>
      <c r="AK5" s="71"/>
      <c r="AL5" s="67">
        <v>2500</v>
      </c>
      <c r="AM5" s="67">
        <v>2700</v>
      </c>
      <c r="AN5" s="67">
        <v>2700</v>
      </c>
      <c r="AO5" s="71">
        <v>2700</v>
      </c>
      <c r="AP5" s="67">
        <v>3000</v>
      </c>
      <c r="AQ5" s="67">
        <v>3000</v>
      </c>
      <c r="AR5" s="67">
        <v>0</v>
      </c>
      <c r="AS5" s="67">
        <v>0</v>
      </c>
      <c r="AT5" s="67">
        <v>0</v>
      </c>
      <c r="AU5" s="67">
        <v>0</v>
      </c>
      <c r="AV5" s="67">
        <v>0</v>
      </c>
      <c r="AW5" s="71">
        <v>0</v>
      </c>
      <c r="BA5" s="72"/>
      <c r="BE5" s="72"/>
      <c r="BI5" s="71"/>
      <c r="BJ5" s="71"/>
    </row>
    <row r="6" spans="1:64" s="67" customFormat="1" ht="15.75" customHeight="1" x14ac:dyDescent="0.15">
      <c r="A6" s="67">
        <v>10</v>
      </c>
      <c r="B6" s="68">
        <v>45737</v>
      </c>
      <c r="C6" s="69"/>
      <c r="D6" s="69"/>
      <c r="E6" s="70"/>
      <c r="F6" s="71" t="s">
        <v>83</v>
      </c>
      <c r="G6" s="67" t="s">
        <v>86</v>
      </c>
      <c r="H6" s="71"/>
      <c r="I6" s="67" t="s">
        <v>81</v>
      </c>
      <c r="J6" s="67" t="s">
        <v>82</v>
      </c>
      <c r="O6" s="71"/>
      <c r="V6" s="71"/>
      <c r="W6" s="67">
        <v>28</v>
      </c>
      <c r="X6" s="67" t="s">
        <v>76</v>
      </c>
      <c r="AA6" s="67">
        <v>2.0000000000000001E-4</v>
      </c>
      <c r="AB6" s="67">
        <v>5800</v>
      </c>
      <c r="AC6" s="71">
        <v>300</v>
      </c>
      <c r="AK6" s="71"/>
      <c r="AL6" s="67">
        <v>2500</v>
      </c>
      <c r="AM6" s="67">
        <v>2700</v>
      </c>
      <c r="AN6" s="67">
        <v>2700</v>
      </c>
      <c r="AO6" s="71">
        <v>2700</v>
      </c>
      <c r="AP6" s="67">
        <v>3000</v>
      </c>
      <c r="AQ6" s="67">
        <v>3000</v>
      </c>
      <c r="AR6" s="67">
        <v>0</v>
      </c>
      <c r="AS6" s="67">
        <v>0</v>
      </c>
      <c r="AT6" s="67">
        <v>0</v>
      </c>
      <c r="AU6" s="67">
        <v>0</v>
      </c>
      <c r="AV6" s="67">
        <v>0</v>
      </c>
      <c r="AW6" s="71">
        <v>0</v>
      </c>
      <c r="BA6" s="72"/>
      <c r="BE6" s="72"/>
      <c r="BI6" s="71"/>
      <c r="BJ6" s="71"/>
    </row>
    <row r="7" spans="1:64" s="67" customFormat="1" ht="13" x14ac:dyDescent="0.15">
      <c r="A7" s="67">
        <v>11</v>
      </c>
      <c r="B7" s="68">
        <v>45737</v>
      </c>
      <c r="E7" s="70"/>
      <c r="F7" s="71" t="s">
        <v>83</v>
      </c>
      <c r="G7" s="73" t="s">
        <v>87</v>
      </c>
      <c r="H7" s="71"/>
      <c r="I7" s="67" t="s">
        <v>81</v>
      </c>
      <c r="J7" s="67" t="s">
        <v>82</v>
      </c>
      <c r="O7" s="71"/>
      <c r="V7" s="71"/>
      <c r="W7" s="67">
        <v>28</v>
      </c>
      <c r="X7" s="67" t="s">
        <v>76</v>
      </c>
      <c r="AA7" s="67">
        <v>2.0000000000000001E-4</v>
      </c>
      <c r="AB7" s="67">
        <v>5800</v>
      </c>
      <c r="AC7" s="71">
        <v>300</v>
      </c>
      <c r="AK7" s="71"/>
      <c r="AL7" s="67">
        <v>2500</v>
      </c>
      <c r="AM7" s="67">
        <v>2700</v>
      </c>
      <c r="AN7" s="67">
        <v>2700</v>
      </c>
      <c r="AO7" s="71">
        <v>2700</v>
      </c>
      <c r="AP7" s="67">
        <v>3000</v>
      </c>
      <c r="AQ7" s="67">
        <v>3000</v>
      </c>
      <c r="AR7" s="67">
        <v>0</v>
      </c>
      <c r="AS7" s="67">
        <v>0</v>
      </c>
      <c r="AT7" s="67">
        <v>0</v>
      </c>
      <c r="AU7" s="67">
        <v>0</v>
      </c>
      <c r="AV7" s="67">
        <v>0</v>
      </c>
      <c r="AW7" s="71">
        <v>0</v>
      </c>
      <c r="BA7" s="72"/>
      <c r="BE7" s="72"/>
      <c r="BI7" s="71"/>
      <c r="BJ7" s="71"/>
    </row>
    <row r="8" spans="1:64" s="67" customFormat="1" ht="15.75" customHeight="1" x14ac:dyDescent="0.15">
      <c r="A8" s="67">
        <v>12</v>
      </c>
      <c r="B8" s="68">
        <v>45737</v>
      </c>
      <c r="C8" s="69"/>
      <c r="D8" s="69"/>
      <c r="E8" s="70"/>
      <c r="F8" s="67" t="s">
        <v>83</v>
      </c>
      <c r="G8" s="73" t="s">
        <v>88</v>
      </c>
      <c r="H8" s="71"/>
      <c r="I8" s="67" t="s">
        <v>81</v>
      </c>
      <c r="J8" s="67" t="s">
        <v>82</v>
      </c>
      <c r="K8" s="67">
        <v>10</v>
      </c>
      <c r="L8" s="67">
        <v>60</v>
      </c>
      <c r="M8" s="67" t="s">
        <v>89</v>
      </c>
      <c r="N8" s="67" t="s">
        <v>90</v>
      </c>
      <c r="O8" s="71"/>
      <c r="V8" s="71"/>
      <c r="W8" s="67">
        <v>28</v>
      </c>
      <c r="X8" s="67" t="s">
        <v>76</v>
      </c>
      <c r="AA8" s="67">
        <v>2.0000000000000001E-4</v>
      </c>
      <c r="AB8" s="67">
        <v>5800</v>
      </c>
      <c r="AC8" s="71">
        <v>300</v>
      </c>
      <c r="AK8" s="71"/>
      <c r="AL8" s="67">
        <v>2500</v>
      </c>
      <c r="AM8" s="67">
        <v>2700</v>
      </c>
      <c r="AN8" s="67">
        <v>2700</v>
      </c>
      <c r="AO8" s="71">
        <v>2700</v>
      </c>
      <c r="AP8" s="67">
        <v>3000</v>
      </c>
      <c r="AQ8" s="67">
        <v>3000</v>
      </c>
      <c r="AR8" s="67">
        <v>0</v>
      </c>
      <c r="AS8" s="67">
        <v>0</v>
      </c>
      <c r="AT8" s="67">
        <v>0</v>
      </c>
      <c r="AU8" s="67">
        <v>0</v>
      </c>
      <c r="AV8" s="67">
        <v>0</v>
      </c>
      <c r="AW8" s="71">
        <v>0</v>
      </c>
      <c r="BA8" s="72"/>
      <c r="BE8" s="72"/>
      <c r="BI8" s="71"/>
      <c r="BJ8" s="71"/>
    </row>
    <row r="9" spans="1:64" ht="15.75" customHeight="1" x14ac:dyDescent="0.15">
      <c r="A9" s="12">
        <v>13</v>
      </c>
      <c r="B9" s="13">
        <v>45737</v>
      </c>
      <c r="C9" s="14"/>
      <c r="D9" s="14"/>
      <c r="E9" s="15"/>
      <c r="F9" s="16" t="s">
        <v>83</v>
      </c>
      <c r="G9" s="19" t="s">
        <v>91</v>
      </c>
      <c r="H9" s="55" t="s">
        <v>133</v>
      </c>
      <c r="I9" s="12"/>
      <c r="J9" s="12"/>
      <c r="K9" s="12"/>
      <c r="L9" s="12"/>
      <c r="M9" s="12" t="s">
        <v>89</v>
      </c>
      <c r="N9" s="12"/>
      <c r="O9" s="16"/>
      <c r="P9" s="12"/>
      <c r="Q9" s="12"/>
      <c r="V9" s="16"/>
      <c r="W9" s="12">
        <v>28</v>
      </c>
      <c r="X9" s="12" t="s">
        <v>76</v>
      </c>
      <c r="Y9" s="12"/>
      <c r="AA9" s="12">
        <v>2.0000000000000001E-4</v>
      </c>
      <c r="AB9" s="12">
        <v>5800</v>
      </c>
      <c r="AC9" s="16">
        <v>300</v>
      </c>
      <c r="AE9" s="12"/>
      <c r="AK9" s="16"/>
      <c r="AL9" s="12">
        <v>2500</v>
      </c>
      <c r="AM9" s="12">
        <v>2700</v>
      </c>
      <c r="AN9" s="12">
        <v>2700</v>
      </c>
      <c r="AO9" s="16">
        <v>2700</v>
      </c>
      <c r="AP9" s="18">
        <v>3000</v>
      </c>
      <c r="AQ9" s="18">
        <v>3000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6">
        <v>0</v>
      </c>
      <c r="BA9" s="17"/>
      <c r="BE9" s="17"/>
      <c r="BF9" s="12"/>
      <c r="BG9" s="12"/>
      <c r="BH9" s="12"/>
      <c r="BI9" s="16"/>
      <c r="BJ9" s="16"/>
    </row>
    <row r="10" spans="1:64" ht="15.75" customHeight="1" x14ac:dyDescent="0.15">
      <c r="A10" s="12">
        <v>14</v>
      </c>
      <c r="B10" s="13">
        <v>45737</v>
      </c>
      <c r="C10" s="14"/>
      <c r="D10" s="14"/>
      <c r="E10" s="15"/>
      <c r="F10" s="16" t="s">
        <v>83</v>
      </c>
      <c r="G10" s="20" t="s">
        <v>91</v>
      </c>
      <c r="H10" s="55" t="s">
        <v>133</v>
      </c>
      <c r="I10" s="12" t="s">
        <v>81</v>
      </c>
      <c r="J10" s="12" t="s">
        <v>82</v>
      </c>
      <c r="M10" s="12" t="s">
        <v>89</v>
      </c>
      <c r="O10" s="16"/>
      <c r="V10" s="16"/>
      <c r="W10" s="12">
        <v>28</v>
      </c>
      <c r="X10" s="12" t="s">
        <v>76</v>
      </c>
      <c r="Y10" s="12"/>
      <c r="AA10" s="12">
        <v>2.0000000000000001E-4</v>
      </c>
      <c r="AB10" s="12">
        <v>5800</v>
      </c>
      <c r="AC10" s="16">
        <v>300</v>
      </c>
      <c r="AE10" s="12"/>
      <c r="AK10" s="16"/>
      <c r="AL10" s="12">
        <v>2500</v>
      </c>
      <c r="AM10" s="12">
        <v>2700</v>
      </c>
      <c r="AN10" s="12">
        <v>2700</v>
      </c>
      <c r="AO10" s="16">
        <v>2700</v>
      </c>
      <c r="AP10" s="18">
        <v>3000</v>
      </c>
      <c r="AQ10" s="18">
        <v>3000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6">
        <v>0</v>
      </c>
      <c r="BA10" s="17"/>
      <c r="BE10" s="17"/>
      <c r="BI10" s="16"/>
      <c r="BJ10" s="16"/>
    </row>
    <row r="11" spans="1:64" ht="16" customHeight="1" x14ac:dyDescent="0.15">
      <c r="A11" s="12">
        <v>15</v>
      </c>
      <c r="B11" s="13">
        <v>45737</v>
      </c>
      <c r="C11" s="14"/>
      <c r="D11" s="14">
        <v>0.53402777777777777</v>
      </c>
      <c r="E11" s="15"/>
      <c r="F11" s="16" t="s">
        <v>83</v>
      </c>
      <c r="G11" s="12" t="s">
        <v>92</v>
      </c>
      <c r="H11" s="16"/>
      <c r="I11" s="12" t="s">
        <v>81</v>
      </c>
      <c r="J11" s="12" t="s">
        <v>82</v>
      </c>
      <c r="K11" s="12"/>
      <c r="L11" s="12"/>
      <c r="M11" s="12" t="s">
        <v>89</v>
      </c>
      <c r="O11" s="16"/>
      <c r="V11" s="16"/>
      <c r="W11" s="12">
        <v>28</v>
      </c>
      <c r="X11" s="12" t="s">
        <v>76</v>
      </c>
      <c r="Y11" s="12"/>
      <c r="AA11" s="12">
        <v>2.0000000000000001E-4</v>
      </c>
      <c r="AB11" s="12">
        <v>5800</v>
      </c>
      <c r="AC11" s="16">
        <v>300</v>
      </c>
      <c r="AE11" s="12"/>
      <c r="AK11" s="16"/>
      <c r="AL11" s="12">
        <v>2500</v>
      </c>
      <c r="AM11" s="12">
        <v>2700</v>
      </c>
      <c r="AN11" s="12">
        <v>2700</v>
      </c>
      <c r="AO11" s="16">
        <v>2700</v>
      </c>
      <c r="AP11" s="18">
        <v>3000</v>
      </c>
      <c r="AQ11" s="18">
        <v>3000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6">
        <v>0</v>
      </c>
      <c r="BA11" s="17"/>
      <c r="BE11" s="17"/>
      <c r="BI11" s="16"/>
      <c r="BJ11" s="16"/>
    </row>
    <row r="12" spans="1:64" s="67" customFormat="1" ht="15.75" customHeight="1" x14ac:dyDescent="0.15">
      <c r="A12" s="67">
        <v>16</v>
      </c>
      <c r="B12" s="68">
        <v>45737</v>
      </c>
      <c r="C12" s="69">
        <v>0.53888888888888886</v>
      </c>
      <c r="D12" s="74">
        <v>0.5444444444444444</v>
      </c>
      <c r="E12" s="70"/>
      <c r="F12" s="71" t="s">
        <v>83</v>
      </c>
      <c r="G12" s="67" t="s">
        <v>93</v>
      </c>
      <c r="H12" s="71"/>
      <c r="O12" s="71"/>
      <c r="V12" s="71"/>
      <c r="W12" s="67">
        <v>28</v>
      </c>
      <c r="X12" s="67" t="s">
        <v>76</v>
      </c>
      <c r="AA12" s="67">
        <v>2.0000000000000001E-4</v>
      </c>
      <c r="AB12" s="67">
        <v>5800</v>
      </c>
      <c r="AC12" s="71">
        <v>300</v>
      </c>
      <c r="AK12" s="71"/>
      <c r="AL12" s="67">
        <v>2500</v>
      </c>
      <c r="AM12" s="67">
        <v>2700</v>
      </c>
      <c r="AN12" s="67">
        <v>2700</v>
      </c>
      <c r="AO12" s="71">
        <v>2700</v>
      </c>
      <c r="AP12" s="67">
        <v>3000</v>
      </c>
      <c r="AQ12" s="67">
        <v>3000</v>
      </c>
      <c r="AR12" s="67">
        <v>0</v>
      </c>
      <c r="AS12" s="67">
        <v>0</v>
      </c>
      <c r="AT12" s="67">
        <v>0</v>
      </c>
      <c r="AU12" s="67">
        <v>0</v>
      </c>
      <c r="AV12" s="67">
        <v>0</v>
      </c>
      <c r="AW12" s="71">
        <v>0</v>
      </c>
      <c r="BA12" s="72"/>
      <c r="BE12" s="72"/>
      <c r="BI12" s="71"/>
      <c r="BJ12" s="71"/>
    </row>
    <row r="13" spans="1:64" s="67" customFormat="1" ht="15.75" customHeight="1" x14ac:dyDescent="0.15">
      <c r="A13" s="67">
        <v>17</v>
      </c>
      <c r="B13" s="68">
        <v>45737</v>
      </c>
      <c r="C13" s="74">
        <v>0.54722222222222228</v>
      </c>
      <c r="D13" s="69">
        <v>0.55277777777777781</v>
      </c>
      <c r="E13" s="70"/>
      <c r="F13" s="71" t="s">
        <v>83</v>
      </c>
      <c r="G13" s="67" t="s">
        <v>94</v>
      </c>
      <c r="H13" s="71"/>
      <c r="O13" s="71"/>
      <c r="V13" s="71"/>
      <c r="W13" s="67">
        <v>28</v>
      </c>
      <c r="X13" s="67" t="s">
        <v>76</v>
      </c>
      <c r="AA13" s="67">
        <v>2.0000000000000001E-4</v>
      </c>
      <c r="AB13" s="67">
        <v>5800</v>
      </c>
      <c r="AC13" s="71">
        <v>300</v>
      </c>
      <c r="AK13" s="71"/>
      <c r="AL13" s="67">
        <v>2500</v>
      </c>
      <c r="AM13" s="67">
        <v>2700</v>
      </c>
      <c r="AN13" s="67">
        <v>2700</v>
      </c>
      <c r="AO13" s="71">
        <v>2700</v>
      </c>
      <c r="AP13" s="67">
        <v>3000</v>
      </c>
      <c r="AQ13" s="67">
        <v>3000</v>
      </c>
      <c r="AR13" s="67">
        <v>0</v>
      </c>
      <c r="AS13" s="67">
        <v>0</v>
      </c>
      <c r="AT13" s="67">
        <v>0</v>
      </c>
      <c r="AU13" s="67">
        <v>0</v>
      </c>
      <c r="AV13" s="67">
        <v>0</v>
      </c>
      <c r="AW13" s="71">
        <v>0</v>
      </c>
      <c r="BA13" s="72"/>
      <c r="BE13" s="72"/>
      <c r="BI13" s="71"/>
      <c r="BJ13" s="71"/>
    </row>
    <row r="14" spans="1:64" ht="15.75" customHeight="1" x14ac:dyDescent="0.15">
      <c r="A14" s="12">
        <v>18</v>
      </c>
      <c r="B14" s="13">
        <v>45737</v>
      </c>
      <c r="C14" s="14"/>
      <c r="D14" s="14"/>
      <c r="E14" s="15"/>
      <c r="F14" s="16" t="s">
        <v>83</v>
      </c>
      <c r="G14" s="12" t="s">
        <v>95</v>
      </c>
      <c r="H14" s="16"/>
      <c r="I14" s="12" t="s">
        <v>96</v>
      </c>
      <c r="J14" s="12" t="s">
        <v>82</v>
      </c>
      <c r="K14" s="12"/>
      <c r="L14" s="12"/>
      <c r="M14" s="12" t="s">
        <v>77</v>
      </c>
      <c r="O14" s="16"/>
      <c r="V14" s="16"/>
      <c r="W14" s="12"/>
      <c r="X14" s="12"/>
      <c r="Y14" s="12"/>
      <c r="AB14" s="12"/>
      <c r="AC14" s="16"/>
      <c r="AE14" s="12"/>
      <c r="AK14" s="16"/>
      <c r="AL14" s="12"/>
      <c r="AM14" s="12"/>
      <c r="AN14" s="12"/>
      <c r="AO14" s="16"/>
      <c r="AW14" s="16"/>
      <c r="BA14" s="17"/>
      <c r="BE14" s="17"/>
      <c r="BI14" s="16"/>
      <c r="BJ14" s="16"/>
    </row>
    <row r="15" spans="1:64" ht="15.75" customHeight="1" x14ac:dyDescent="0.15">
      <c r="A15" s="12">
        <v>19</v>
      </c>
      <c r="B15" s="13">
        <v>45737</v>
      </c>
      <c r="C15" s="14"/>
      <c r="D15" s="14"/>
      <c r="E15" s="15"/>
      <c r="F15" s="16" t="s">
        <v>83</v>
      </c>
      <c r="G15" s="12" t="s">
        <v>95</v>
      </c>
      <c r="H15" s="16"/>
      <c r="I15" s="12"/>
      <c r="J15" s="12"/>
      <c r="K15" s="12"/>
      <c r="L15" s="12"/>
      <c r="M15" s="12"/>
      <c r="O15" s="16"/>
      <c r="V15" s="16"/>
      <c r="W15" s="12"/>
      <c r="X15" s="12"/>
      <c r="Y15" s="12"/>
      <c r="AB15" s="12"/>
      <c r="AC15" s="16"/>
      <c r="AE15" s="12"/>
      <c r="AK15" s="16"/>
      <c r="AL15" s="12"/>
      <c r="AM15" s="12"/>
      <c r="AN15" s="12"/>
      <c r="AO15" s="16"/>
      <c r="AW15" s="16"/>
      <c r="BA15" s="17"/>
      <c r="BE15" s="17"/>
      <c r="BI15" s="16"/>
      <c r="BJ15" s="16"/>
    </row>
    <row r="16" spans="1:64" ht="15.75" customHeight="1" x14ac:dyDescent="0.15">
      <c r="A16" s="12">
        <v>20</v>
      </c>
      <c r="B16" s="13">
        <v>45737</v>
      </c>
      <c r="C16" s="14"/>
      <c r="D16" s="14"/>
      <c r="E16" s="15"/>
      <c r="F16" s="16" t="s">
        <v>83</v>
      </c>
      <c r="G16" s="12" t="s">
        <v>95</v>
      </c>
      <c r="H16" s="16"/>
      <c r="I16" s="12" t="s">
        <v>96</v>
      </c>
      <c r="J16" s="12" t="s">
        <v>82</v>
      </c>
      <c r="M16" s="12" t="s">
        <v>77</v>
      </c>
      <c r="O16" s="16"/>
      <c r="V16" s="16"/>
      <c r="W16" s="12"/>
      <c r="X16" s="12"/>
      <c r="Y16" s="12"/>
      <c r="AB16" s="12"/>
      <c r="AC16" s="16"/>
      <c r="AE16" s="12"/>
      <c r="AK16" s="16"/>
      <c r="AL16" s="12"/>
      <c r="AM16" s="12"/>
      <c r="AN16" s="12"/>
      <c r="AO16" s="16"/>
      <c r="AW16" s="16"/>
      <c r="BA16" s="17"/>
      <c r="BE16" s="17"/>
      <c r="BI16" s="16"/>
      <c r="BJ16" s="16"/>
    </row>
    <row r="17" spans="1:62" ht="15.75" customHeight="1" x14ac:dyDescent="0.15">
      <c r="A17" s="12">
        <v>21</v>
      </c>
      <c r="B17" s="13">
        <v>45737</v>
      </c>
      <c r="C17" s="14"/>
      <c r="D17" s="14"/>
      <c r="E17" s="15"/>
      <c r="F17" s="16" t="s">
        <v>83</v>
      </c>
      <c r="G17" s="12" t="s">
        <v>97</v>
      </c>
      <c r="H17" s="16"/>
      <c r="I17" s="12" t="s">
        <v>96</v>
      </c>
      <c r="J17" s="12" t="s">
        <v>82</v>
      </c>
      <c r="M17" s="12" t="s">
        <v>77</v>
      </c>
      <c r="O17" s="16"/>
      <c r="V17" s="16"/>
      <c r="W17" s="12">
        <v>46.26</v>
      </c>
      <c r="X17" s="12" t="s">
        <v>76</v>
      </c>
      <c r="Y17" s="12"/>
      <c r="AA17" s="12">
        <v>2.0000000000000001E-4</v>
      </c>
      <c r="AB17" s="12">
        <v>5800</v>
      </c>
      <c r="AC17" s="16">
        <v>300</v>
      </c>
      <c r="AD17" s="18">
        <v>58.56</v>
      </c>
      <c r="AE17" s="12" t="s">
        <v>85</v>
      </c>
      <c r="AJ17" s="18">
        <v>4400</v>
      </c>
      <c r="AK17" s="16">
        <v>300</v>
      </c>
      <c r="AL17" s="12">
        <v>2500</v>
      </c>
      <c r="AM17" s="12">
        <v>2700</v>
      </c>
      <c r="AN17" s="12">
        <v>2700</v>
      </c>
      <c r="AO17" s="16">
        <v>2700</v>
      </c>
      <c r="AP17" s="18">
        <v>3000</v>
      </c>
      <c r="AQ17" s="18">
        <v>3000</v>
      </c>
      <c r="AR17" s="18">
        <v>3000</v>
      </c>
      <c r="AS17" s="18">
        <v>3000</v>
      </c>
      <c r="AT17" s="18">
        <v>3000</v>
      </c>
      <c r="AU17" s="18">
        <v>3000</v>
      </c>
      <c r="AV17" s="18">
        <v>3000</v>
      </c>
      <c r="AW17" s="18">
        <v>3000</v>
      </c>
      <c r="BA17" s="17"/>
      <c r="BE17" s="17"/>
      <c r="BI17" s="16"/>
      <c r="BJ17" s="16"/>
    </row>
    <row r="18" spans="1:62" ht="15.75" customHeight="1" x14ac:dyDescent="0.15">
      <c r="A18" s="12">
        <v>22</v>
      </c>
      <c r="B18" s="13">
        <v>45737</v>
      </c>
      <c r="C18" s="14"/>
      <c r="D18" s="14"/>
      <c r="E18" s="15"/>
      <c r="F18" s="16"/>
      <c r="G18" s="12" t="s">
        <v>98</v>
      </c>
      <c r="H18" s="16"/>
      <c r="I18" s="12"/>
      <c r="J18" s="12"/>
      <c r="K18" s="12"/>
      <c r="L18" s="12"/>
      <c r="M18" s="12"/>
      <c r="O18" s="16"/>
      <c r="V18" s="16"/>
      <c r="W18" s="12"/>
      <c r="X18" s="12"/>
      <c r="Y18" s="12"/>
      <c r="Z18" s="12"/>
      <c r="AB18" s="12"/>
      <c r="AC18" s="16"/>
      <c r="AE18" s="12"/>
      <c r="AK18" s="16"/>
      <c r="AL18" s="12"/>
      <c r="AM18" s="12"/>
      <c r="AN18" s="12"/>
      <c r="AO18" s="16"/>
      <c r="AW18" s="16"/>
      <c r="BA18" s="17"/>
      <c r="BE18" s="17"/>
      <c r="BI18" s="16"/>
      <c r="BJ18" s="16"/>
    </row>
    <row r="19" spans="1:62" ht="15.75" customHeight="1" x14ac:dyDescent="0.15">
      <c r="A19" s="12">
        <v>23</v>
      </c>
      <c r="B19" s="13">
        <v>45737</v>
      </c>
      <c r="C19" s="14"/>
      <c r="D19" s="14"/>
      <c r="E19" s="15"/>
      <c r="F19" s="16"/>
      <c r="G19" s="12" t="s">
        <v>98</v>
      </c>
      <c r="H19" s="16"/>
      <c r="I19" s="12"/>
      <c r="J19" s="12"/>
      <c r="K19" s="12"/>
      <c r="L19" s="12"/>
      <c r="M19" s="12"/>
      <c r="O19" s="16"/>
      <c r="V19" s="16"/>
      <c r="W19" s="12"/>
      <c r="X19" s="12"/>
      <c r="Y19" s="12"/>
      <c r="Z19" s="12"/>
      <c r="AB19" s="12"/>
      <c r="AC19" s="16"/>
      <c r="AE19" s="12"/>
      <c r="AK19" s="16"/>
      <c r="AL19" s="12"/>
      <c r="AM19" s="12"/>
      <c r="AN19" s="12"/>
      <c r="AO19" s="16"/>
      <c r="AW19" s="16"/>
      <c r="BA19" s="17"/>
      <c r="BE19" s="17"/>
      <c r="BF19" s="12"/>
      <c r="BG19" s="12"/>
      <c r="BH19" s="12"/>
      <c r="BI19" s="16"/>
      <c r="BJ19" s="16"/>
    </row>
    <row r="20" spans="1:62" ht="15.75" customHeight="1" x14ac:dyDescent="0.15">
      <c r="A20" s="12">
        <v>24</v>
      </c>
      <c r="B20" s="13">
        <v>45737</v>
      </c>
      <c r="C20" s="14"/>
      <c r="D20" s="14">
        <v>0.84236111111111112</v>
      </c>
      <c r="E20" s="15"/>
      <c r="F20" s="16"/>
      <c r="G20" s="12" t="s">
        <v>97</v>
      </c>
      <c r="H20" s="16"/>
      <c r="I20" s="12" t="s">
        <v>96</v>
      </c>
      <c r="J20" s="12" t="s">
        <v>82</v>
      </c>
      <c r="K20" s="12"/>
      <c r="L20" s="12"/>
      <c r="M20" s="12" t="s">
        <v>77</v>
      </c>
      <c r="O20" s="16"/>
      <c r="V20" s="16"/>
      <c r="W20" s="12">
        <v>46.26</v>
      </c>
      <c r="X20" s="12" t="s">
        <v>76</v>
      </c>
      <c r="Y20" s="12"/>
      <c r="AA20" s="12">
        <v>2.0000000000000001E-4</v>
      </c>
      <c r="AB20" s="12">
        <v>5800</v>
      </c>
      <c r="AC20" s="16">
        <v>300</v>
      </c>
      <c r="AD20" s="18">
        <v>58.56</v>
      </c>
      <c r="AE20" s="12" t="s">
        <v>85</v>
      </c>
      <c r="AJ20" s="18">
        <v>4400</v>
      </c>
      <c r="AK20" s="16">
        <v>300</v>
      </c>
      <c r="AL20" s="12">
        <v>2500</v>
      </c>
      <c r="AM20" s="12">
        <v>2700</v>
      </c>
      <c r="AN20" s="12">
        <v>2700</v>
      </c>
      <c r="AO20" s="16">
        <v>2700</v>
      </c>
      <c r="AP20" s="18">
        <v>3000</v>
      </c>
      <c r="AQ20" s="18">
        <v>3000</v>
      </c>
      <c r="AR20" s="18">
        <v>3000</v>
      </c>
      <c r="AS20" s="18">
        <v>3000</v>
      </c>
      <c r="AT20" s="18">
        <v>3000</v>
      </c>
      <c r="AU20" s="18">
        <v>3000</v>
      </c>
      <c r="AV20" s="18">
        <v>3000</v>
      </c>
      <c r="AW20" s="18">
        <v>3000</v>
      </c>
      <c r="BA20" s="17"/>
      <c r="BE20" s="17"/>
      <c r="BF20" s="12"/>
      <c r="BG20" s="12"/>
      <c r="BH20" s="12"/>
      <c r="BI20" s="16"/>
      <c r="BJ20" s="16"/>
    </row>
    <row r="21" spans="1:62" ht="15.75" customHeight="1" x14ac:dyDescent="0.15">
      <c r="A21" s="12">
        <v>25</v>
      </c>
      <c r="B21" s="13">
        <v>45737</v>
      </c>
      <c r="C21" s="14">
        <v>0.84305555555555556</v>
      </c>
      <c r="D21" s="14">
        <v>0.8979166666666667</v>
      </c>
      <c r="E21" s="15"/>
      <c r="F21" s="16"/>
      <c r="G21" s="12" t="s">
        <v>97</v>
      </c>
      <c r="H21" s="16"/>
      <c r="I21" s="12" t="s">
        <v>96</v>
      </c>
      <c r="J21" s="12" t="s">
        <v>82</v>
      </c>
      <c r="K21" s="12"/>
      <c r="L21" s="12"/>
      <c r="M21" s="12" t="s">
        <v>77</v>
      </c>
      <c r="O21" s="16"/>
      <c r="V21" s="16"/>
      <c r="W21" s="12">
        <v>46.26</v>
      </c>
      <c r="X21" s="12" t="s">
        <v>76</v>
      </c>
      <c r="Y21" s="12"/>
      <c r="AA21" s="12">
        <v>2.0000000000000001E-4</v>
      </c>
      <c r="AB21" s="12">
        <v>5800</v>
      </c>
      <c r="AC21" s="16">
        <v>300</v>
      </c>
      <c r="AD21" s="18">
        <v>58.56</v>
      </c>
      <c r="AE21" s="12" t="s">
        <v>85</v>
      </c>
      <c r="AJ21" s="18">
        <v>4400</v>
      </c>
      <c r="AK21" s="16">
        <v>300</v>
      </c>
      <c r="AL21" s="12">
        <v>2500</v>
      </c>
      <c r="AM21" s="12">
        <v>2700</v>
      </c>
      <c r="AN21" s="12">
        <v>2700</v>
      </c>
      <c r="AO21" s="16">
        <v>2700</v>
      </c>
      <c r="AP21" s="18">
        <v>3000</v>
      </c>
      <c r="AQ21" s="18">
        <v>3000</v>
      </c>
      <c r="AR21" s="18">
        <v>3000</v>
      </c>
      <c r="AS21" s="18">
        <v>3000</v>
      </c>
      <c r="AT21" s="18">
        <v>3000</v>
      </c>
      <c r="AU21" s="18">
        <v>3000</v>
      </c>
      <c r="AV21" s="18">
        <v>3000</v>
      </c>
      <c r="AW21" s="18">
        <v>3000</v>
      </c>
      <c r="BA21" s="17"/>
      <c r="BE21" s="17"/>
      <c r="BF21" s="12"/>
      <c r="BG21" s="12"/>
      <c r="BH21" s="12"/>
      <c r="BI21" s="16"/>
      <c r="BJ21" s="16"/>
    </row>
    <row r="22" spans="1:62" ht="15.75" customHeight="1" x14ac:dyDescent="0.15">
      <c r="A22" s="12">
        <v>26</v>
      </c>
      <c r="B22" s="13">
        <v>45737</v>
      </c>
      <c r="C22" s="14">
        <v>0.89861111111111114</v>
      </c>
      <c r="D22" s="14">
        <v>0.89861111111111114</v>
      </c>
      <c r="E22" s="15"/>
      <c r="F22" s="16"/>
      <c r="G22" s="12" t="s">
        <v>91</v>
      </c>
      <c r="H22" s="16"/>
      <c r="I22" s="12"/>
      <c r="J22" s="12"/>
      <c r="K22" s="12"/>
      <c r="L22" s="12"/>
      <c r="M22" s="12"/>
      <c r="N22" s="12"/>
      <c r="O22" s="16"/>
      <c r="V22" s="16"/>
      <c r="W22" s="12"/>
      <c r="X22" s="12"/>
      <c r="Y22" s="12"/>
      <c r="Z22" s="12"/>
      <c r="AB22" s="12"/>
      <c r="AC22" s="16"/>
      <c r="AD22" s="12"/>
      <c r="AE22" s="12"/>
      <c r="AF22" s="12"/>
      <c r="AG22" s="12"/>
      <c r="AK22" s="16"/>
      <c r="AL22" s="12"/>
      <c r="AM22" s="12"/>
      <c r="AN22" s="12"/>
      <c r="AO22" s="16"/>
      <c r="AP22" s="12"/>
      <c r="AQ22" s="12"/>
      <c r="AR22" s="12"/>
      <c r="AS22" s="12"/>
      <c r="AT22" s="12"/>
      <c r="AU22" s="12"/>
      <c r="AV22" s="12"/>
      <c r="AW22" s="16"/>
      <c r="BA22" s="17"/>
      <c r="BE22" s="17"/>
      <c r="BF22" s="12"/>
      <c r="BG22" s="12"/>
      <c r="BH22" s="12"/>
      <c r="BI22" s="16"/>
      <c r="BJ22" s="16"/>
    </row>
    <row r="23" spans="1:62" ht="15.75" customHeight="1" x14ac:dyDescent="0.15">
      <c r="A23" s="12">
        <v>27</v>
      </c>
      <c r="B23" s="13">
        <v>45737</v>
      </c>
      <c r="C23" s="14">
        <v>0.95486111111111116</v>
      </c>
      <c r="D23" s="14">
        <v>0.96388888888888891</v>
      </c>
      <c r="E23" s="15"/>
      <c r="F23" s="16"/>
      <c r="G23" s="12" t="s">
        <v>91</v>
      </c>
      <c r="H23" s="16"/>
      <c r="I23" s="12"/>
      <c r="J23" s="12"/>
      <c r="K23" s="12"/>
      <c r="L23" s="12"/>
      <c r="M23" s="12"/>
      <c r="N23" s="12"/>
      <c r="O23" s="16"/>
      <c r="V23" s="16"/>
      <c r="W23" s="12"/>
      <c r="X23" s="12"/>
      <c r="AC23" s="16"/>
      <c r="AE23" s="12"/>
      <c r="AK23" s="16"/>
      <c r="AO23" s="16"/>
      <c r="AP23" s="12"/>
      <c r="AQ23" s="12"/>
      <c r="AR23" s="12"/>
      <c r="AS23" s="12"/>
      <c r="AT23" s="12"/>
      <c r="AU23" s="12"/>
      <c r="AV23" s="12"/>
      <c r="AW23" s="12"/>
      <c r="BA23" s="17"/>
      <c r="BE23" s="17"/>
      <c r="BI23" s="16"/>
      <c r="BJ23" s="16"/>
    </row>
    <row r="24" spans="1:62" ht="15.75" customHeight="1" x14ac:dyDescent="0.15">
      <c r="A24" s="12">
        <v>28</v>
      </c>
      <c r="B24" s="13">
        <v>45738</v>
      </c>
      <c r="C24" s="14">
        <v>3.6111111111111108E-2</v>
      </c>
      <c r="D24" s="14"/>
      <c r="E24" s="15"/>
      <c r="F24" s="16"/>
      <c r="G24" s="12" t="s">
        <v>99</v>
      </c>
      <c r="H24" s="16"/>
      <c r="I24" s="12" t="s">
        <v>96</v>
      </c>
      <c r="J24" s="12" t="s">
        <v>82</v>
      </c>
      <c r="K24" s="12"/>
      <c r="L24" s="12"/>
      <c r="M24" s="12" t="s">
        <v>77</v>
      </c>
      <c r="N24" s="12"/>
      <c r="O24" s="16"/>
      <c r="V24" s="16"/>
      <c r="W24" s="12">
        <v>46.26</v>
      </c>
      <c r="X24" s="12" t="s">
        <v>76</v>
      </c>
      <c r="Y24" s="12">
        <v>1047.6559999999999</v>
      </c>
      <c r="Z24" s="18">
        <v>125.741</v>
      </c>
      <c r="AA24" s="12">
        <v>2.0000000000000001E-4</v>
      </c>
      <c r="AB24" s="12">
        <v>5800</v>
      </c>
      <c r="AC24" s="16">
        <v>300</v>
      </c>
      <c r="AD24" s="18">
        <v>58.56</v>
      </c>
      <c r="AE24" s="12" t="s">
        <v>85</v>
      </c>
      <c r="AF24" s="12">
        <v>925.41300000000001</v>
      </c>
      <c r="AG24" s="12">
        <v>223.6</v>
      </c>
      <c r="AH24" s="18">
        <v>0.01</v>
      </c>
      <c r="AI24" s="18">
        <v>0.01</v>
      </c>
      <c r="AJ24" s="12">
        <v>4400</v>
      </c>
      <c r="AK24" s="16">
        <v>300</v>
      </c>
      <c r="AL24" s="12">
        <v>2500</v>
      </c>
      <c r="AM24" s="12">
        <v>2700</v>
      </c>
      <c r="AN24" s="12">
        <v>2700</v>
      </c>
      <c r="AO24" s="16">
        <v>2700</v>
      </c>
      <c r="AP24" s="18">
        <v>3000</v>
      </c>
      <c r="AQ24" s="18">
        <v>3000</v>
      </c>
      <c r="AR24" s="18">
        <v>3000</v>
      </c>
      <c r="AS24" s="18">
        <v>3000</v>
      </c>
      <c r="AT24" s="18">
        <v>3000</v>
      </c>
      <c r="AU24" s="18">
        <v>3000</v>
      </c>
      <c r="AV24" s="18">
        <v>3000</v>
      </c>
      <c r="AW24" s="18">
        <v>3000</v>
      </c>
      <c r="BA24" s="17"/>
      <c r="BE24" s="17"/>
      <c r="BF24" s="12"/>
      <c r="BG24" s="12"/>
      <c r="BH24" s="12"/>
      <c r="BI24" s="16"/>
      <c r="BJ24" s="16"/>
    </row>
    <row r="25" spans="1:62" ht="15.75" customHeight="1" x14ac:dyDescent="0.15">
      <c r="A25" s="12">
        <v>29</v>
      </c>
      <c r="B25" s="13">
        <v>45738</v>
      </c>
      <c r="C25" s="14">
        <v>6.9444444444444448E-2</v>
      </c>
      <c r="D25" s="14">
        <v>7.4305555555555555E-2</v>
      </c>
      <c r="E25" s="15"/>
      <c r="F25" s="16"/>
      <c r="G25" s="12" t="s">
        <v>100</v>
      </c>
      <c r="H25" s="16" t="s">
        <v>101</v>
      </c>
      <c r="I25" s="12" t="s">
        <v>96</v>
      </c>
      <c r="J25" s="12" t="s">
        <v>82</v>
      </c>
      <c r="K25" s="12"/>
      <c r="L25" s="12"/>
      <c r="M25" s="12" t="s">
        <v>77</v>
      </c>
      <c r="N25" s="12"/>
      <c r="O25" s="16"/>
      <c r="V25" s="16"/>
      <c r="W25" s="12">
        <v>46.26</v>
      </c>
      <c r="X25" s="12" t="s">
        <v>76</v>
      </c>
      <c r="Y25" s="12">
        <v>1047.6559999999999</v>
      </c>
      <c r="Z25" s="18">
        <v>125.741</v>
      </c>
      <c r="AA25" s="12">
        <v>2.0000000000000001E-4</v>
      </c>
      <c r="AB25" s="12">
        <v>5800</v>
      </c>
      <c r="AC25" s="16">
        <v>300</v>
      </c>
      <c r="AD25" s="18">
        <v>58.56</v>
      </c>
      <c r="AE25" s="12" t="s">
        <v>85</v>
      </c>
      <c r="AF25" s="12">
        <v>925.41300000000001</v>
      </c>
      <c r="AG25" s="12">
        <v>223.6</v>
      </c>
      <c r="AH25" s="18">
        <v>0.01</v>
      </c>
      <c r="AI25" s="18">
        <v>0.01</v>
      </c>
      <c r="AJ25" s="12">
        <v>4500</v>
      </c>
      <c r="AK25" s="16">
        <v>300</v>
      </c>
      <c r="AL25" s="12">
        <v>2500</v>
      </c>
      <c r="AM25" s="12">
        <v>2700</v>
      </c>
      <c r="AN25" s="12">
        <v>2700</v>
      </c>
      <c r="AO25" s="16">
        <v>2700</v>
      </c>
      <c r="AP25" s="18">
        <v>3000</v>
      </c>
      <c r="AQ25" s="18">
        <v>3000</v>
      </c>
      <c r="AR25" s="18">
        <v>3000</v>
      </c>
      <c r="AS25" s="18">
        <v>3000</v>
      </c>
      <c r="AT25" s="18">
        <v>3000</v>
      </c>
      <c r="AU25" s="18">
        <v>3000</v>
      </c>
      <c r="AV25" s="18">
        <v>3000</v>
      </c>
      <c r="AW25" s="18">
        <v>3000</v>
      </c>
      <c r="BA25" s="17"/>
      <c r="BE25" s="17"/>
      <c r="BF25" s="12"/>
      <c r="BG25" s="12"/>
      <c r="BH25" s="12"/>
      <c r="BI25" s="16"/>
      <c r="BJ25" s="16"/>
    </row>
    <row r="26" spans="1:62" ht="15.75" customHeight="1" x14ac:dyDescent="0.15">
      <c r="A26" s="12">
        <v>30</v>
      </c>
      <c r="B26" s="13">
        <v>45738</v>
      </c>
      <c r="C26" s="22">
        <v>7.9861111111111105E-2</v>
      </c>
      <c r="E26" s="15"/>
      <c r="F26" s="16"/>
      <c r="G26" s="18" t="s">
        <v>102</v>
      </c>
      <c r="H26" s="16"/>
      <c r="I26" s="12" t="s">
        <v>96</v>
      </c>
      <c r="J26" s="12" t="s">
        <v>82</v>
      </c>
      <c r="K26" s="18">
        <v>50</v>
      </c>
      <c r="L26" s="18">
        <v>200</v>
      </c>
      <c r="M26" s="12" t="s">
        <v>77</v>
      </c>
      <c r="N26" s="18" t="s">
        <v>103</v>
      </c>
      <c r="O26" s="16" t="s">
        <v>104</v>
      </c>
      <c r="V26" s="16"/>
      <c r="W26" s="12">
        <v>46.26</v>
      </c>
      <c r="X26" s="12" t="s">
        <v>76</v>
      </c>
      <c r="Y26" s="12">
        <v>1047.6559999999999</v>
      </c>
      <c r="Z26" s="18">
        <v>125.741</v>
      </c>
      <c r="AA26" s="12">
        <v>2.0000000000000001E-4</v>
      </c>
      <c r="AB26" s="12">
        <v>5800</v>
      </c>
      <c r="AC26" s="16">
        <v>300</v>
      </c>
      <c r="AD26" s="18">
        <v>58.56</v>
      </c>
      <c r="AE26" s="12" t="s">
        <v>76</v>
      </c>
      <c r="AF26" s="12">
        <v>925.41300000000001</v>
      </c>
      <c r="AG26" s="12">
        <v>223.6</v>
      </c>
      <c r="AH26" s="18">
        <v>0.01</v>
      </c>
      <c r="AI26" s="18">
        <v>0.01</v>
      </c>
      <c r="AJ26" s="12">
        <v>4500</v>
      </c>
      <c r="AK26" s="16">
        <v>300</v>
      </c>
      <c r="AL26" s="12">
        <v>2500</v>
      </c>
      <c r="AM26" s="12">
        <v>2700</v>
      </c>
      <c r="AN26" s="12">
        <v>2700</v>
      </c>
      <c r="AO26" s="16">
        <v>2700</v>
      </c>
      <c r="AP26" s="18">
        <v>3000</v>
      </c>
      <c r="AQ26" s="18">
        <v>3000</v>
      </c>
      <c r="AR26" s="18">
        <v>3000</v>
      </c>
      <c r="AS26" s="18">
        <v>3000</v>
      </c>
      <c r="AT26" s="18">
        <v>3000</v>
      </c>
      <c r="AU26" s="18">
        <v>3000</v>
      </c>
      <c r="AV26" s="18">
        <v>3000</v>
      </c>
      <c r="AW26" s="18">
        <v>3000</v>
      </c>
      <c r="BA26" s="17"/>
      <c r="BE26" s="17"/>
      <c r="BI26" s="16"/>
      <c r="BJ26" s="16"/>
    </row>
    <row r="27" spans="1:62" ht="15.75" customHeight="1" x14ac:dyDescent="0.15">
      <c r="A27" s="12">
        <v>31</v>
      </c>
      <c r="B27" s="13">
        <v>45738</v>
      </c>
      <c r="C27" s="14">
        <v>0.10902777777777778</v>
      </c>
      <c r="D27" s="14">
        <v>0.11805555555555555</v>
      </c>
      <c r="E27" s="15"/>
      <c r="F27" s="16"/>
      <c r="G27" s="12"/>
      <c r="H27" s="16"/>
      <c r="I27" s="12"/>
      <c r="J27" s="12"/>
      <c r="K27" s="12"/>
      <c r="L27" s="12"/>
      <c r="M27" s="12"/>
      <c r="N27" s="12"/>
      <c r="O27" s="16"/>
      <c r="P27" s="12"/>
      <c r="Q27" s="12"/>
      <c r="T27" s="12"/>
      <c r="U27" s="12"/>
      <c r="V27" s="16"/>
      <c r="W27" s="12"/>
      <c r="X27" s="12"/>
      <c r="Y27" s="12"/>
      <c r="Z27" s="12"/>
      <c r="AB27" s="12"/>
      <c r="AC27" s="16"/>
      <c r="AD27" s="12"/>
      <c r="AE27" s="12"/>
      <c r="AF27" s="12"/>
      <c r="AG27" s="12"/>
      <c r="AJ27" s="12"/>
      <c r="AK27" s="16"/>
      <c r="AL27" s="12"/>
      <c r="AM27" s="12"/>
      <c r="AN27" s="12"/>
      <c r="AO27" s="16"/>
      <c r="AP27" s="12"/>
      <c r="AQ27" s="12"/>
      <c r="AR27" s="12"/>
      <c r="AS27" s="12"/>
      <c r="AT27" s="12"/>
      <c r="AU27" s="12"/>
      <c r="AV27" s="12"/>
      <c r="AW27" s="16"/>
      <c r="BA27" s="17"/>
      <c r="BE27" s="17"/>
      <c r="BI27" s="16"/>
      <c r="BJ27" s="16"/>
    </row>
    <row r="28" spans="1:62" ht="15.75" customHeight="1" x14ac:dyDescent="0.15">
      <c r="A28" s="12">
        <v>32</v>
      </c>
      <c r="B28" s="13">
        <v>45738</v>
      </c>
      <c r="C28" s="14">
        <v>0.11874999999999999</v>
      </c>
      <c r="D28" s="21">
        <v>0.12361111111111112</v>
      </c>
      <c r="E28" s="15"/>
      <c r="F28" s="16"/>
      <c r="G28" s="12" t="s">
        <v>105</v>
      </c>
      <c r="H28" s="16"/>
      <c r="I28" s="12"/>
      <c r="J28" s="12"/>
      <c r="K28" s="12"/>
      <c r="L28" s="12"/>
      <c r="M28" s="12"/>
      <c r="N28" s="12"/>
      <c r="O28" s="16"/>
      <c r="V28" s="16"/>
      <c r="W28" s="12"/>
      <c r="X28" s="12"/>
      <c r="Y28" s="12"/>
      <c r="Z28" s="12"/>
      <c r="AB28" s="12"/>
      <c r="AC28" s="16"/>
      <c r="AD28" s="12"/>
      <c r="AE28" s="12"/>
      <c r="AF28" s="12"/>
      <c r="AG28" s="12"/>
      <c r="AH28" s="12"/>
      <c r="AI28" s="12"/>
      <c r="AJ28" s="12"/>
      <c r="AK28" s="16"/>
      <c r="AL28" s="12"/>
      <c r="AM28" s="12"/>
      <c r="AN28" s="12"/>
      <c r="AO28" s="16"/>
      <c r="AP28" s="12"/>
      <c r="AQ28" s="12"/>
      <c r="AR28" s="12"/>
      <c r="AS28" s="12"/>
      <c r="AT28" s="12"/>
      <c r="AU28" s="12"/>
      <c r="AV28" s="12"/>
      <c r="AW28" s="16"/>
      <c r="BA28" s="17"/>
      <c r="BE28" s="17"/>
      <c r="BI28" s="16"/>
      <c r="BJ28" s="16"/>
    </row>
    <row r="29" spans="1:62" ht="15.75" customHeight="1" x14ac:dyDescent="0.15">
      <c r="A29" s="12">
        <v>33</v>
      </c>
      <c r="B29" s="13">
        <v>45738</v>
      </c>
      <c r="C29" s="14">
        <v>0.12430555555555556</v>
      </c>
      <c r="D29" s="14">
        <v>0.12916666666666668</v>
      </c>
      <c r="E29" s="15"/>
      <c r="F29" s="16"/>
      <c r="G29" s="12" t="s">
        <v>106</v>
      </c>
      <c r="H29" s="16"/>
      <c r="I29" s="12" t="s">
        <v>96</v>
      </c>
      <c r="J29" s="12" t="s">
        <v>82</v>
      </c>
      <c r="K29" s="12">
        <v>65</v>
      </c>
      <c r="L29" s="12">
        <v>200</v>
      </c>
      <c r="M29" s="12" t="s">
        <v>77</v>
      </c>
      <c r="N29" s="12" t="s">
        <v>107</v>
      </c>
      <c r="O29" s="16" t="s">
        <v>108</v>
      </c>
      <c r="V29" s="16"/>
      <c r="W29" s="12">
        <v>46.26</v>
      </c>
      <c r="X29" s="12" t="s">
        <v>76</v>
      </c>
      <c r="Y29" s="12">
        <v>1047.6559999999999</v>
      </c>
      <c r="Z29" s="18">
        <v>125.741</v>
      </c>
      <c r="AA29" s="12">
        <v>2.0000000000000001E-4</v>
      </c>
      <c r="AB29" s="12">
        <v>5800</v>
      </c>
      <c r="AC29" s="16">
        <v>300</v>
      </c>
      <c r="AD29" s="18">
        <v>58.56</v>
      </c>
      <c r="AE29" s="12" t="s">
        <v>76</v>
      </c>
      <c r="AF29" s="12">
        <v>925.41300000000001</v>
      </c>
      <c r="AG29" s="12">
        <v>223.6</v>
      </c>
      <c r="AH29" s="18">
        <v>0.01</v>
      </c>
      <c r="AI29" s="18">
        <v>0.01</v>
      </c>
      <c r="AJ29" s="12">
        <v>4500</v>
      </c>
      <c r="AK29" s="16">
        <v>300</v>
      </c>
      <c r="AL29" s="12">
        <v>2500</v>
      </c>
      <c r="AM29" s="12">
        <v>2700</v>
      </c>
      <c r="AN29" s="12">
        <v>2700</v>
      </c>
      <c r="AO29" s="16">
        <v>2700</v>
      </c>
      <c r="AP29" s="18">
        <v>1800</v>
      </c>
      <c r="AQ29" s="18">
        <v>2000</v>
      </c>
      <c r="AR29" s="18">
        <v>3000</v>
      </c>
      <c r="AS29" s="18">
        <v>3000</v>
      </c>
      <c r="AT29" s="18">
        <v>3000</v>
      </c>
      <c r="AU29" s="18">
        <v>3000</v>
      </c>
      <c r="AV29" s="18">
        <v>3000</v>
      </c>
      <c r="AW29" s="18">
        <v>3000</v>
      </c>
      <c r="BA29" s="17"/>
      <c r="BE29" s="17"/>
      <c r="BI29" s="16"/>
      <c r="BJ29" s="16"/>
    </row>
    <row r="30" spans="1:62" ht="15.75" customHeight="1" x14ac:dyDescent="0.15">
      <c r="A30" s="12">
        <v>34</v>
      </c>
      <c r="B30" s="13">
        <v>45738</v>
      </c>
      <c r="C30" s="14">
        <v>0.13055555555555556</v>
      </c>
      <c r="D30" s="14">
        <v>0.16319444444444445</v>
      </c>
      <c r="E30" s="15"/>
      <c r="F30" s="16"/>
      <c r="G30" s="12" t="s">
        <v>109</v>
      </c>
      <c r="H30" s="16"/>
      <c r="I30" s="12" t="s">
        <v>96</v>
      </c>
      <c r="J30" s="12" t="s">
        <v>82</v>
      </c>
      <c r="K30" s="12">
        <v>70</v>
      </c>
      <c r="L30" s="12">
        <v>200</v>
      </c>
      <c r="M30" s="12" t="s">
        <v>77</v>
      </c>
      <c r="N30" s="12" t="s">
        <v>110</v>
      </c>
      <c r="O30" s="16" t="s">
        <v>108</v>
      </c>
      <c r="V30" s="16"/>
      <c r="W30" s="12">
        <v>46.26</v>
      </c>
      <c r="X30" s="12" t="s">
        <v>76</v>
      </c>
      <c r="Y30" s="12">
        <v>1047.6559999999999</v>
      </c>
      <c r="Z30" s="18">
        <v>125.741</v>
      </c>
      <c r="AA30" s="12">
        <v>2.0000000000000001E-4</v>
      </c>
      <c r="AB30" s="12">
        <v>5800</v>
      </c>
      <c r="AC30" s="16">
        <v>300</v>
      </c>
      <c r="AD30" s="18">
        <v>58.56</v>
      </c>
      <c r="AE30" s="12" t="s">
        <v>76</v>
      </c>
      <c r="AF30" s="12">
        <v>925.41300000000001</v>
      </c>
      <c r="AG30" s="12">
        <v>223.6</v>
      </c>
      <c r="AH30" s="18">
        <v>0.01</v>
      </c>
      <c r="AI30" s="18">
        <v>0.01</v>
      </c>
      <c r="AJ30" s="12">
        <v>4500</v>
      </c>
      <c r="AK30" s="16">
        <v>300</v>
      </c>
      <c r="AL30" s="12">
        <v>2500</v>
      </c>
      <c r="AM30" s="12">
        <v>2700</v>
      </c>
      <c r="AN30" s="12">
        <v>2700</v>
      </c>
      <c r="AO30" s="16">
        <v>2700</v>
      </c>
      <c r="AP30" s="18">
        <v>1800</v>
      </c>
      <c r="AQ30" s="18">
        <v>2000</v>
      </c>
      <c r="AR30" s="18">
        <v>3000</v>
      </c>
      <c r="AS30" s="18">
        <v>3000</v>
      </c>
      <c r="AT30" s="18">
        <v>3000</v>
      </c>
      <c r="AU30" s="18">
        <v>3000</v>
      </c>
      <c r="AV30" s="18">
        <v>3000</v>
      </c>
      <c r="AW30" s="18">
        <v>3000</v>
      </c>
      <c r="BA30" s="17"/>
      <c r="BE30" s="17"/>
      <c r="BI30" s="16"/>
      <c r="BJ30" s="16"/>
    </row>
    <row r="31" spans="1:62" ht="15.75" customHeight="1" x14ac:dyDescent="0.15">
      <c r="A31" s="12">
        <v>46</v>
      </c>
      <c r="B31" s="13">
        <v>45738</v>
      </c>
      <c r="C31" s="14">
        <v>0.49791666666666667</v>
      </c>
      <c r="D31" s="14">
        <v>0.51736111111111116</v>
      </c>
      <c r="E31" s="15"/>
      <c r="F31" s="16"/>
      <c r="G31" s="12" t="s">
        <v>111</v>
      </c>
      <c r="H31" s="16"/>
      <c r="I31" s="12" t="s">
        <v>96</v>
      </c>
      <c r="J31" s="12" t="s">
        <v>82</v>
      </c>
      <c r="K31" s="12"/>
      <c r="L31" s="12">
        <v>200</v>
      </c>
      <c r="M31" s="12" t="s">
        <v>77</v>
      </c>
      <c r="O31" s="16"/>
      <c r="P31" s="18">
        <v>410000</v>
      </c>
      <c r="Q31" s="18">
        <v>30000</v>
      </c>
      <c r="R31" s="18">
        <v>200000</v>
      </c>
      <c r="S31" s="18">
        <v>100000</v>
      </c>
      <c r="T31" s="18">
        <v>20000</v>
      </c>
      <c r="U31" s="18">
        <v>10000</v>
      </c>
      <c r="V31" s="16">
        <v>75000</v>
      </c>
      <c r="W31" s="12">
        <v>46.26</v>
      </c>
      <c r="X31" s="12" t="s">
        <v>76</v>
      </c>
      <c r="AB31" s="12">
        <v>5800</v>
      </c>
      <c r="AC31" s="16">
        <v>300</v>
      </c>
      <c r="AD31" s="18">
        <v>58.56</v>
      </c>
      <c r="AE31" s="12" t="s">
        <v>76</v>
      </c>
      <c r="AJ31" s="12">
        <v>0</v>
      </c>
      <c r="AK31" s="16">
        <v>0</v>
      </c>
      <c r="AL31" s="12">
        <v>2500</v>
      </c>
      <c r="AM31" s="12">
        <v>2700</v>
      </c>
      <c r="AN31" s="18" t="s">
        <v>112</v>
      </c>
      <c r="AO31" s="18" t="s">
        <v>113</v>
      </c>
      <c r="AP31" s="18">
        <v>1800</v>
      </c>
      <c r="AQ31" s="18">
        <v>2000</v>
      </c>
      <c r="AR31" s="18">
        <v>3000</v>
      </c>
      <c r="AS31" s="18">
        <v>3000</v>
      </c>
      <c r="AT31" s="18">
        <v>3000</v>
      </c>
      <c r="AU31" s="18">
        <v>3000</v>
      </c>
      <c r="AV31" s="18">
        <v>3000</v>
      </c>
      <c r="AW31" s="18">
        <v>3000</v>
      </c>
      <c r="AX31" s="18">
        <v>0</v>
      </c>
      <c r="AY31" s="18">
        <v>0</v>
      </c>
      <c r="AZ31" s="18">
        <v>0</v>
      </c>
      <c r="BA31" s="17">
        <v>0</v>
      </c>
      <c r="BB31" s="18">
        <v>83000</v>
      </c>
      <c r="BC31" s="18">
        <v>85000</v>
      </c>
      <c r="BD31" s="18">
        <v>60000</v>
      </c>
      <c r="BE31" s="17">
        <v>70000</v>
      </c>
      <c r="BF31" s="18">
        <v>7600000</v>
      </c>
      <c r="BG31" s="18">
        <v>4700000</v>
      </c>
      <c r="BH31" s="18">
        <v>6100000</v>
      </c>
      <c r="BI31" s="16">
        <v>3200000</v>
      </c>
      <c r="BJ31" s="16"/>
    </row>
    <row r="32" spans="1:62" ht="15.75" customHeight="1" x14ac:dyDescent="0.15">
      <c r="A32" s="12">
        <v>47</v>
      </c>
      <c r="B32" s="13">
        <v>45738</v>
      </c>
      <c r="C32" s="14">
        <v>0.51875000000000004</v>
      </c>
      <c r="E32" s="15"/>
      <c r="F32" s="16"/>
      <c r="G32" s="12" t="s">
        <v>114</v>
      </c>
      <c r="H32" s="16"/>
      <c r="I32" s="12" t="s">
        <v>96</v>
      </c>
      <c r="J32" s="12" t="s">
        <v>82</v>
      </c>
      <c r="M32" s="12" t="s">
        <v>77</v>
      </c>
      <c r="O32" s="16"/>
      <c r="V32" s="16"/>
      <c r="W32" s="12">
        <v>46.26</v>
      </c>
      <c r="X32" s="12" t="s">
        <v>76</v>
      </c>
      <c r="AB32" s="12">
        <v>5800</v>
      </c>
      <c r="AC32" s="16">
        <v>300</v>
      </c>
      <c r="AD32" s="18">
        <v>58.56</v>
      </c>
      <c r="AE32" s="12" t="s">
        <v>76</v>
      </c>
      <c r="AH32" s="12"/>
      <c r="AI32" s="12"/>
      <c r="AJ32" s="12">
        <v>4500</v>
      </c>
      <c r="AK32" s="16">
        <v>300</v>
      </c>
      <c r="AL32" s="12">
        <v>2500</v>
      </c>
      <c r="AM32" s="12">
        <v>2700</v>
      </c>
      <c r="AN32" s="18">
        <v>1800</v>
      </c>
      <c r="AO32" s="18">
        <v>1800</v>
      </c>
      <c r="AP32" s="18">
        <v>1800</v>
      </c>
      <c r="AQ32" s="18">
        <v>2000</v>
      </c>
      <c r="AR32" s="18">
        <v>3000</v>
      </c>
      <c r="AS32" s="18">
        <v>3000</v>
      </c>
      <c r="AT32" s="18">
        <v>3000</v>
      </c>
      <c r="AU32" s="18">
        <v>3000</v>
      </c>
      <c r="AV32" s="18">
        <v>3000</v>
      </c>
      <c r="AW32" s="18">
        <v>3000</v>
      </c>
      <c r="AX32" s="18">
        <v>0</v>
      </c>
      <c r="AY32" s="18">
        <v>0</v>
      </c>
      <c r="AZ32" s="18">
        <v>0</v>
      </c>
      <c r="BA32" s="17">
        <v>0</v>
      </c>
      <c r="BE32" s="17"/>
      <c r="BI32" s="16"/>
      <c r="BJ32" s="16"/>
    </row>
    <row r="33" spans="1:62" ht="15.75" customHeight="1" x14ac:dyDescent="0.15">
      <c r="A33" s="12">
        <v>48</v>
      </c>
      <c r="B33" s="13">
        <v>45738</v>
      </c>
      <c r="C33" s="14">
        <v>0.53749999999999998</v>
      </c>
      <c r="D33" s="14"/>
      <c r="E33" s="15"/>
      <c r="F33" s="16"/>
      <c r="G33" s="12" t="s">
        <v>115</v>
      </c>
      <c r="H33" s="16"/>
      <c r="I33" s="12" t="s">
        <v>96</v>
      </c>
      <c r="J33" s="12" t="s">
        <v>82</v>
      </c>
      <c r="M33" s="12" t="s">
        <v>77</v>
      </c>
      <c r="O33" s="16"/>
      <c r="V33" s="16"/>
      <c r="W33" s="12">
        <v>46.26</v>
      </c>
      <c r="X33" s="12" t="s">
        <v>76</v>
      </c>
      <c r="AB33" s="12">
        <v>5800</v>
      </c>
      <c r="AC33" s="16">
        <v>300</v>
      </c>
      <c r="AD33" s="18">
        <v>58.56</v>
      </c>
      <c r="AE33" s="12" t="s">
        <v>76</v>
      </c>
      <c r="AJ33" s="12">
        <v>4500</v>
      </c>
      <c r="AK33" s="16">
        <v>300</v>
      </c>
      <c r="AL33" s="12">
        <v>2500</v>
      </c>
      <c r="AM33" s="12">
        <v>2700</v>
      </c>
      <c r="AN33" s="18">
        <v>1800</v>
      </c>
      <c r="AO33" s="18">
        <v>1800</v>
      </c>
      <c r="AP33" s="18">
        <v>1500</v>
      </c>
      <c r="AQ33" s="18">
        <v>1500</v>
      </c>
      <c r="AR33" s="18">
        <v>3000</v>
      </c>
      <c r="AS33" s="18">
        <v>3000</v>
      </c>
      <c r="AT33" s="18">
        <v>3000</v>
      </c>
      <c r="AU33" s="18">
        <v>3000</v>
      </c>
      <c r="AV33" s="18">
        <v>3000</v>
      </c>
      <c r="AW33" s="18">
        <v>3000</v>
      </c>
      <c r="AX33" s="18">
        <v>0</v>
      </c>
      <c r="AY33" s="18">
        <v>0</v>
      </c>
      <c r="AZ33" s="18">
        <v>0</v>
      </c>
      <c r="BA33" s="17">
        <v>0</v>
      </c>
      <c r="BE33" s="17"/>
      <c r="BI33" s="16"/>
      <c r="BJ33" s="16"/>
    </row>
    <row r="34" spans="1:62" ht="15.75" customHeight="1" x14ac:dyDescent="0.15">
      <c r="A34" s="12">
        <v>49</v>
      </c>
      <c r="B34" s="13">
        <v>45738</v>
      </c>
      <c r="C34" s="14"/>
      <c r="D34" s="14"/>
      <c r="E34" s="15"/>
      <c r="F34" s="16"/>
      <c r="G34" s="12" t="s">
        <v>116</v>
      </c>
      <c r="H34" s="16"/>
      <c r="I34" s="12" t="s">
        <v>96</v>
      </c>
      <c r="J34" s="12" t="s">
        <v>82</v>
      </c>
      <c r="M34" s="12" t="s">
        <v>77</v>
      </c>
      <c r="O34" s="16"/>
      <c r="V34" s="16"/>
      <c r="W34" s="12">
        <v>46.26</v>
      </c>
      <c r="X34" s="12" t="s">
        <v>76</v>
      </c>
      <c r="AB34" s="12">
        <v>5800</v>
      </c>
      <c r="AC34" s="16">
        <v>300</v>
      </c>
      <c r="AD34" s="18">
        <v>58.56</v>
      </c>
      <c r="AE34" s="12" t="s">
        <v>76</v>
      </c>
      <c r="AJ34" s="12">
        <v>4500</v>
      </c>
      <c r="AK34" s="16">
        <v>300</v>
      </c>
      <c r="AL34" s="12">
        <v>2500</v>
      </c>
      <c r="AM34" s="12">
        <v>2700</v>
      </c>
      <c r="AN34" s="18">
        <v>1800</v>
      </c>
      <c r="AO34" s="18">
        <v>1800</v>
      </c>
      <c r="AP34" s="18">
        <v>1700</v>
      </c>
      <c r="AQ34" s="18">
        <v>1700</v>
      </c>
      <c r="AR34" s="18">
        <v>3000</v>
      </c>
      <c r="AS34" s="18">
        <v>3000</v>
      </c>
      <c r="AT34" s="18">
        <v>3000</v>
      </c>
      <c r="AU34" s="18">
        <v>3000</v>
      </c>
      <c r="AV34" s="18">
        <v>3000</v>
      </c>
      <c r="AW34" s="18">
        <v>3000</v>
      </c>
      <c r="AX34" s="18">
        <v>0</v>
      </c>
      <c r="AY34" s="18">
        <v>0</v>
      </c>
      <c r="AZ34" s="18">
        <v>0</v>
      </c>
      <c r="BA34" s="17">
        <v>0</v>
      </c>
      <c r="BE34" s="17"/>
      <c r="BI34" s="16"/>
      <c r="BJ34" s="16"/>
    </row>
    <row r="35" spans="1:62" ht="15.75" customHeight="1" x14ac:dyDescent="0.15">
      <c r="A35" s="12">
        <v>50</v>
      </c>
      <c r="B35" s="13">
        <v>45738</v>
      </c>
      <c r="C35" s="22">
        <v>0.55208333333333337</v>
      </c>
      <c r="D35" s="22">
        <v>0.5541666666666667</v>
      </c>
      <c r="E35" s="15">
        <f>D35-C35</f>
        <v>2.0833333333333259E-3</v>
      </c>
      <c r="F35" s="16"/>
      <c r="G35" s="12" t="s">
        <v>117</v>
      </c>
      <c r="H35" s="16"/>
      <c r="I35" s="12" t="s">
        <v>96</v>
      </c>
      <c r="J35" s="12" t="s">
        <v>82</v>
      </c>
      <c r="M35" s="12" t="s">
        <v>77</v>
      </c>
      <c r="O35" s="16"/>
      <c r="V35" s="16"/>
      <c r="W35" s="12">
        <v>46.26</v>
      </c>
      <c r="X35" s="12" t="s">
        <v>76</v>
      </c>
      <c r="AB35" s="12">
        <v>5800</v>
      </c>
      <c r="AC35" s="16">
        <v>300</v>
      </c>
      <c r="AD35" s="18">
        <v>58.56</v>
      </c>
      <c r="AE35" s="12" t="s">
        <v>76</v>
      </c>
      <c r="AH35" s="12"/>
      <c r="AI35" s="12"/>
      <c r="AJ35" s="12">
        <v>4500</v>
      </c>
      <c r="AK35" s="16">
        <v>300</v>
      </c>
      <c r="AL35" s="12">
        <v>2500</v>
      </c>
      <c r="AM35" s="12">
        <v>2700</v>
      </c>
      <c r="AN35" s="18">
        <v>1800</v>
      </c>
      <c r="AO35" s="18">
        <v>1800</v>
      </c>
      <c r="AP35" s="18">
        <v>2000</v>
      </c>
      <c r="AQ35" s="18">
        <v>2000</v>
      </c>
      <c r="AR35" s="18">
        <v>3000</v>
      </c>
      <c r="AS35" s="18">
        <v>3000</v>
      </c>
      <c r="AT35" s="18">
        <v>3000</v>
      </c>
      <c r="AU35" s="18">
        <v>3000</v>
      </c>
      <c r="AV35" s="18">
        <v>3000</v>
      </c>
      <c r="AW35" s="18">
        <v>3000</v>
      </c>
      <c r="AX35" s="18">
        <v>0</v>
      </c>
      <c r="AY35" s="18">
        <v>0</v>
      </c>
      <c r="AZ35" s="18">
        <v>0</v>
      </c>
      <c r="BA35" s="17">
        <v>0</v>
      </c>
      <c r="BE35" s="17"/>
      <c r="BI35" s="16"/>
      <c r="BJ35" s="16"/>
    </row>
    <row r="36" spans="1:62" ht="15.75" customHeight="1" x14ac:dyDescent="0.15">
      <c r="A36" s="12">
        <v>51</v>
      </c>
      <c r="B36" s="13">
        <v>45738</v>
      </c>
      <c r="C36" s="14">
        <v>0.5541666666666667</v>
      </c>
      <c r="D36" s="14">
        <v>0.56041666666666667</v>
      </c>
      <c r="E36" s="15">
        <f t="shared" ref="E36:E40" si="0">D36-C36</f>
        <v>6.2499999999999778E-3</v>
      </c>
      <c r="F36" s="16"/>
      <c r="G36" s="12" t="s">
        <v>118</v>
      </c>
      <c r="H36" s="16"/>
      <c r="I36" s="12" t="s">
        <v>96</v>
      </c>
      <c r="J36" s="12" t="s">
        <v>82</v>
      </c>
      <c r="M36" s="12" t="s">
        <v>77</v>
      </c>
      <c r="O36" s="16"/>
      <c r="V36" s="16"/>
      <c r="W36" s="12">
        <v>46.26</v>
      </c>
      <c r="X36" s="12" t="s">
        <v>76</v>
      </c>
      <c r="AB36" s="12">
        <v>5800</v>
      </c>
      <c r="AC36" s="16">
        <v>300</v>
      </c>
      <c r="AD36" s="18">
        <v>58.56</v>
      </c>
      <c r="AE36" s="12" t="s">
        <v>76</v>
      </c>
      <c r="AH36" s="12"/>
      <c r="AI36" s="12"/>
      <c r="AJ36" s="12">
        <v>4500</v>
      </c>
      <c r="AK36" s="16">
        <v>300</v>
      </c>
      <c r="AL36" s="12">
        <v>2500</v>
      </c>
      <c r="AM36" s="12">
        <v>2700</v>
      </c>
      <c r="AN36" s="18">
        <v>1800</v>
      </c>
      <c r="AO36" s="18">
        <v>1800</v>
      </c>
      <c r="AP36" s="18">
        <v>2300</v>
      </c>
      <c r="AQ36" s="18">
        <v>2300</v>
      </c>
      <c r="AR36" s="18">
        <v>3000</v>
      </c>
      <c r="AS36" s="18">
        <v>3000</v>
      </c>
      <c r="AT36" s="18">
        <v>3000</v>
      </c>
      <c r="AU36" s="18">
        <v>3000</v>
      </c>
      <c r="AV36" s="18">
        <v>3000</v>
      </c>
      <c r="AW36" s="18">
        <v>3000</v>
      </c>
      <c r="AX36" s="18">
        <v>0</v>
      </c>
      <c r="AY36" s="18">
        <v>0</v>
      </c>
      <c r="AZ36" s="18">
        <v>0</v>
      </c>
      <c r="BA36" s="17">
        <v>0</v>
      </c>
      <c r="BE36" s="17"/>
      <c r="BI36" s="16"/>
      <c r="BJ36" s="16"/>
    </row>
    <row r="37" spans="1:62" ht="15.75" customHeight="1" x14ac:dyDescent="0.15">
      <c r="A37" s="12">
        <v>52</v>
      </c>
      <c r="B37" s="13">
        <v>45738</v>
      </c>
      <c r="C37" s="14">
        <v>0.56111111111111112</v>
      </c>
      <c r="D37" s="22">
        <v>0.58333333333333337</v>
      </c>
      <c r="E37" s="15">
        <f t="shared" si="0"/>
        <v>2.2222222222222254E-2</v>
      </c>
      <c r="F37" s="16"/>
      <c r="G37" s="12" t="s">
        <v>119</v>
      </c>
      <c r="H37" s="16"/>
      <c r="I37" s="12" t="s">
        <v>96</v>
      </c>
      <c r="J37" s="12" t="s">
        <v>82</v>
      </c>
      <c r="M37" s="12" t="s">
        <v>77</v>
      </c>
      <c r="O37" s="16"/>
      <c r="V37" s="16"/>
      <c r="W37" s="12">
        <v>46.26</v>
      </c>
      <c r="X37" s="12" t="s">
        <v>76</v>
      </c>
      <c r="AB37" s="12">
        <v>5800</v>
      </c>
      <c r="AC37" s="16">
        <v>300</v>
      </c>
      <c r="AD37" s="18">
        <v>58.56</v>
      </c>
      <c r="AE37" s="12" t="s">
        <v>76</v>
      </c>
      <c r="AH37" s="12"/>
      <c r="AI37" s="12"/>
      <c r="AJ37" s="12">
        <v>4500</v>
      </c>
      <c r="AK37" s="16">
        <v>300</v>
      </c>
      <c r="AL37" s="12">
        <v>2500</v>
      </c>
      <c r="AM37" s="12">
        <v>2700</v>
      </c>
      <c r="AN37" s="18">
        <v>1800</v>
      </c>
      <c r="AO37" s="18">
        <v>1800</v>
      </c>
      <c r="AP37" s="18">
        <v>2500</v>
      </c>
      <c r="AQ37" s="18">
        <v>2500</v>
      </c>
      <c r="AR37" s="18">
        <v>3000</v>
      </c>
      <c r="AS37" s="18">
        <v>3000</v>
      </c>
      <c r="AT37" s="18">
        <v>3000</v>
      </c>
      <c r="AU37" s="18">
        <v>3000</v>
      </c>
      <c r="AV37" s="18">
        <v>3000</v>
      </c>
      <c r="AW37" s="18">
        <v>3000</v>
      </c>
      <c r="AX37" s="18">
        <v>0</v>
      </c>
      <c r="AY37" s="18">
        <v>0</v>
      </c>
      <c r="AZ37" s="18">
        <v>0</v>
      </c>
      <c r="BA37" s="17">
        <v>0</v>
      </c>
      <c r="BE37" s="17"/>
      <c r="BI37" s="16"/>
      <c r="BJ37" s="16"/>
    </row>
    <row r="38" spans="1:62" ht="15.75" customHeight="1" x14ac:dyDescent="0.15">
      <c r="A38" s="12">
        <v>1000</v>
      </c>
      <c r="B38" s="13">
        <v>45738</v>
      </c>
      <c r="C38" s="14">
        <v>0.6229513888888889</v>
      </c>
      <c r="D38" s="14">
        <v>0.68055555555555558</v>
      </c>
      <c r="E38" s="15">
        <f t="shared" si="0"/>
        <v>5.7604166666666679E-2</v>
      </c>
      <c r="F38" s="16" t="s">
        <v>74</v>
      </c>
      <c r="G38" s="12" t="s">
        <v>120</v>
      </c>
      <c r="H38" s="16"/>
      <c r="I38" s="12" t="s">
        <v>96</v>
      </c>
      <c r="J38" s="12" t="s">
        <v>82</v>
      </c>
      <c r="L38" s="12"/>
      <c r="M38" s="12" t="s">
        <v>77</v>
      </c>
      <c r="O38" s="16"/>
      <c r="V38" s="16"/>
      <c r="W38" s="12">
        <v>46.26</v>
      </c>
      <c r="X38" s="12" t="s">
        <v>76</v>
      </c>
      <c r="AC38" s="16"/>
      <c r="AE38" s="12"/>
      <c r="AK38" s="16"/>
      <c r="AO38" s="16"/>
      <c r="AW38" s="16"/>
      <c r="BA38" s="17"/>
      <c r="BE38" s="17"/>
      <c r="BI38" s="16"/>
      <c r="BJ38" s="16"/>
    </row>
    <row r="39" spans="1:62" s="75" customFormat="1" ht="15.75" customHeight="1" x14ac:dyDescent="0.15">
      <c r="A39" s="75">
        <v>1001</v>
      </c>
      <c r="B39" s="76">
        <v>45738</v>
      </c>
      <c r="C39" s="77">
        <v>0.68263888888888891</v>
      </c>
      <c r="D39" s="77">
        <v>0.7270833333333333</v>
      </c>
      <c r="E39" s="47">
        <f t="shared" si="0"/>
        <v>4.4444444444444398E-2</v>
      </c>
      <c r="F39" s="79" t="s">
        <v>74</v>
      </c>
      <c r="G39" s="75" t="s">
        <v>121</v>
      </c>
      <c r="H39" s="79"/>
      <c r="I39" s="75" t="s">
        <v>122</v>
      </c>
      <c r="J39" s="75" t="s">
        <v>82</v>
      </c>
      <c r="M39" s="75" t="s">
        <v>77</v>
      </c>
      <c r="O39" s="79"/>
      <c r="V39" s="79"/>
      <c r="W39" s="75">
        <v>46.26</v>
      </c>
      <c r="X39" s="75" t="s">
        <v>76</v>
      </c>
      <c r="AC39" s="79"/>
      <c r="AK39" s="79"/>
      <c r="AO39" s="79"/>
      <c r="AW39" s="79"/>
      <c r="BA39" s="80"/>
      <c r="BE39" s="80"/>
      <c r="BI39" s="79"/>
      <c r="BJ39" s="79"/>
    </row>
    <row r="40" spans="1:62" s="75" customFormat="1" ht="15.75" customHeight="1" x14ac:dyDescent="0.15">
      <c r="A40" s="75">
        <v>1002</v>
      </c>
      <c r="B40" s="76">
        <v>45738</v>
      </c>
      <c r="C40" s="77">
        <v>0.7285300925925926</v>
      </c>
      <c r="D40" s="77">
        <v>0.77896990740740746</v>
      </c>
      <c r="E40" s="47">
        <f t="shared" si="0"/>
        <v>5.0439814814814854E-2</v>
      </c>
      <c r="F40" s="79" t="s">
        <v>74</v>
      </c>
      <c r="G40" s="75" t="s">
        <v>121</v>
      </c>
      <c r="H40" s="79"/>
      <c r="I40" s="75" t="s">
        <v>122</v>
      </c>
      <c r="J40" s="75" t="s">
        <v>82</v>
      </c>
      <c r="M40" s="75" t="s">
        <v>77</v>
      </c>
      <c r="O40" s="79"/>
      <c r="V40" s="79"/>
      <c r="W40" s="75">
        <v>46.26</v>
      </c>
      <c r="X40" s="75" t="s">
        <v>76</v>
      </c>
      <c r="AC40" s="79"/>
      <c r="AK40" s="79"/>
      <c r="AO40" s="79"/>
      <c r="AW40" s="79"/>
      <c r="BA40" s="80"/>
      <c r="BE40" s="80"/>
      <c r="BI40" s="79"/>
      <c r="BJ40" s="79"/>
    </row>
    <row r="41" spans="1:62" ht="16" customHeight="1" x14ac:dyDescent="0.15">
      <c r="A41" s="12">
        <v>1003</v>
      </c>
      <c r="B41" s="13">
        <v>45738</v>
      </c>
      <c r="C41" s="14">
        <v>0.77986111111111112</v>
      </c>
      <c r="D41" s="14"/>
      <c r="E41" s="15"/>
      <c r="F41" s="16" t="s">
        <v>74</v>
      </c>
      <c r="G41" s="12" t="s">
        <v>120</v>
      </c>
      <c r="H41" s="16" t="s">
        <v>123</v>
      </c>
      <c r="I41" s="12" t="s">
        <v>96</v>
      </c>
      <c r="J41" s="12" t="s">
        <v>82</v>
      </c>
      <c r="K41" s="12"/>
      <c r="L41" s="12"/>
      <c r="M41" s="12" t="s">
        <v>77</v>
      </c>
      <c r="N41" s="12"/>
      <c r="O41" s="16"/>
      <c r="V41" s="16"/>
      <c r="W41" s="12">
        <v>46.26</v>
      </c>
      <c r="X41" s="12" t="s">
        <v>76</v>
      </c>
      <c r="Y41" s="12"/>
      <c r="Z41" s="12"/>
      <c r="AB41" s="12"/>
      <c r="AC41" s="16"/>
      <c r="AD41" s="12"/>
      <c r="AE41" s="12"/>
      <c r="AF41" s="12"/>
      <c r="AG41" s="12"/>
      <c r="AH41" s="12"/>
      <c r="AI41" s="12"/>
      <c r="AJ41" s="12"/>
      <c r="AK41" s="16"/>
      <c r="AL41" s="12"/>
      <c r="AM41" s="12"/>
      <c r="AN41" s="12"/>
      <c r="AO41" s="16"/>
      <c r="AP41" s="12"/>
      <c r="AQ41" s="12"/>
      <c r="AR41" s="12"/>
      <c r="AS41" s="12"/>
      <c r="AT41" s="12"/>
      <c r="AU41" s="12"/>
      <c r="AV41" s="12"/>
      <c r="AW41" s="16"/>
      <c r="BA41" s="17"/>
      <c r="BE41" s="17"/>
      <c r="BF41" s="12"/>
      <c r="BG41" s="12"/>
      <c r="BH41" s="12"/>
      <c r="BI41" s="16"/>
      <c r="BJ41" s="16"/>
    </row>
    <row r="42" spans="1:62" ht="15.75" customHeight="1" x14ac:dyDescent="0.15">
      <c r="A42" s="12">
        <v>1004</v>
      </c>
      <c r="B42" s="13">
        <v>45738</v>
      </c>
      <c r="C42" s="14"/>
      <c r="E42" s="15"/>
      <c r="F42" s="16" t="s">
        <v>74</v>
      </c>
      <c r="G42" s="12" t="s">
        <v>124</v>
      </c>
      <c r="H42" s="16"/>
      <c r="I42" s="12" t="s">
        <v>96</v>
      </c>
      <c r="J42" s="12" t="s">
        <v>82</v>
      </c>
      <c r="K42" s="12"/>
      <c r="L42" s="12"/>
      <c r="M42" s="12" t="s">
        <v>77</v>
      </c>
      <c r="O42" s="16"/>
      <c r="V42" s="16"/>
      <c r="W42" s="12">
        <v>46.26</v>
      </c>
      <c r="X42" s="12" t="s">
        <v>76</v>
      </c>
      <c r="AC42" s="16"/>
      <c r="AD42" s="12"/>
      <c r="AE42" s="12"/>
      <c r="AF42" s="12"/>
      <c r="AG42" s="12"/>
      <c r="AH42" s="12"/>
      <c r="AI42" s="12"/>
      <c r="AJ42" s="12"/>
      <c r="AK42" s="16"/>
      <c r="AL42" s="12"/>
      <c r="AM42" s="12"/>
      <c r="AN42" s="12"/>
      <c r="AO42" s="16"/>
      <c r="AP42" s="12"/>
      <c r="AQ42" s="12"/>
      <c r="AR42" s="12"/>
      <c r="AS42" s="12"/>
      <c r="AT42" s="12"/>
      <c r="AU42" s="12"/>
      <c r="AV42" s="12"/>
      <c r="AW42" s="16"/>
      <c r="BA42" s="17"/>
      <c r="BE42" s="17"/>
      <c r="BF42" s="12"/>
      <c r="BG42" s="12"/>
      <c r="BH42" s="12"/>
      <c r="BI42" s="16"/>
      <c r="BJ42" s="16"/>
    </row>
    <row r="43" spans="1:62" ht="15" customHeight="1" x14ac:dyDescent="0.15">
      <c r="A43" s="12">
        <v>1005</v>
      </c>
      <c r="B43" s="13">
        <v>45738</v>
      </c>
      <c r="C43" s="14">
        <v>0.80069444444444449</v>
      </c>
      <c r="D43" s="14">
        <v>0.82222222222222219</v>
      </c>
      <c r="E43" s="15">
        <f t="shared" ref="E43:E63" si="1">D43-C43</f>
        <v>2.1527777777777701E-2</v>
      </c>
      <c r="F43" s="16" t="s">
        <v>74</v>
      </c>
      <c r="G43" s="12" t="s">
        <v>125</v>
      </c>
      <c r="H43" s="16"/>
      <c r="I43" s="12" t="s">
        <v>96</v>
      </c>
      <c r="J43" s="12" t="s">
        <v>82</v>
      </c>
      <c r="K43" s="12"/>
      <c r="L43" s="12"/>
      <c r="M43" s="12" t="s">
        <v>77</v>
      </c>
      <c r="N43" s="12"/>
      <c r="O43" s="16"/>
      <c r="V43" s="16"/>
      <c r="W43" s="12">
        <v>46.26</v>
      </c>
      <c r="X43" s="12" t="s">
        <v>76</v>
      </c>
      <c r="Y43" s="12">
        <v>925.40700000000004</v>
      </c>
      <c r="Z43" s="12">
        <v>90.873999999999995</v>
      </c>
      <c r="AB43" s="12">
        <v>5800</v>
      </c>
      <c r="AC43" s="16">
        <v>300</v>
      </c>
      <c r="AD43" s="12"/>
      <c r="AE43" s="12" t="s">
        <v>76</v>
      </c>
      <c r="AF43" s="12">
        <v>-654.92999999999995</v>
      </c>
      <c r="AG43" s="12">
        <v>223.82640000000001</v>
      </c>
      <c r="AH43" s="12"/>
      <c r="AI43" s="12"/>
      <c r="AJ43" s="24" t="s">
        <v>126</v>
      </c>
      <c r="AK43" s="16">
        <v>300</v>
      </c>
      <c r="AL43" s="12">
        <v>2500</v>
      </c>
      <c r="AM43" s="12">
        <v>2700</v>
      </c>
      <c r="AN43" s="12">
        <v>1800</v>
      </c>
      <c r="AO43" s="16">
        <v>1800</v>
      </c>
      <c r="AP43" s="12">
        <v>2500</v>
      </c>
      <c r="AQ43" s="12">
        <v>2500</v>
      </c>
      <c r="AR43" s="12">
        <v>3000</v>
      </c>
      <c r="AS43" s="12">
        <v>3000</v>
      </c>
      <c r="AT43" s="12">
        <v>3000</v>
      </c>
      <c r="AU43" s="12">
        <v>3000</v>
      </c>
      <c r="AV43" s="12">
        <v>3000</v>
      </c>
      <c r="AW43" s="12">
        <v>3000</v>
      </c>
      <c r="AX43" s="12">
        <v>0</v>
      </c>
      <c r="AY43" s="18">
        <v>0</v>
      </c>
      <c r="AZ43" s="18">
        <v>0</v>
      </c>
      <c r="BA43" s="17">
        <v>0</v>
      </c>
      <c r="BE43" s="17"/>
      <c r="BF43" s="12"/>
      <c r="BG43" s="12"/>
      <c r="BH43" s="12"/>
      <c r="BI43" s="16"/>
      <c r="BJ43" s="16"/>
    </row>
    <row r="44" spans="1:62" ht="15.75" customHeight="1" x14ac:dyDescent="0.15">
      <c r="A44" s="12">
        <v>1006</v>
      </c>
      <c r="B44" s="13">
        <v>45738</v>
      </c>
      <c r="C44" s="14">
        <v>0.82222222222222219</v>
      </c>
      <c r="D44" s="14">
        <v>0.82986111111111116</v>
      </c>
      <c r="E44" s="15">
        <f t="shared" si="1"/>
        <v>7.6388888888889728E-3</v>
      </c>
      <c r="F44" s="16" t="s">
        <v>74</v>
      </c>
      <c r="G44" s="12" t="s">
        <v>127</v>
      </c>
      <c r="H44" s="25" t="s">
        <v>128</v>
      </c>
      <c r="I44" s="12" t="s">
        <v>96</v>
      </c>
      <c r="J44" s="12" t="s">
        <v>82</v>
      </c>
      <c r="K44" s="12">
        <v>50</v>
      </c>
      <c r="L44" s="12">
        <v>200</v>
      </c>
      <c r="M44" s="12" t="s">
        <v>77</v>
      </c>
      <c r="N44" s="12" t="s">
        <v>129</v>
      </c>
      <c r="O44" s="16" t="s">
        <v>130</v>
      </c>
      <c r="V44" s="16"/>
      <c r="W44" s="12">
        <v>46.26</v>
      </c>
      <c r="X44" s="12" t="s">
        <v>76</v>
      </c>
      <c r="Y44" s="12">
        <v>925.40700000000004</v>
      </c>
      <c r="Z44" s="12">
        <v>90.873999999999995</v>
      </c>
      <c r="AB44" s="12">
        <v>5800</v>
      </c>
      <c r="AC44" s="16">
        <v>300</v>
      </c>
      <c r="AD44" s="12"/>
      <c r="AE44" s="12" t="s">
        <v>76</v>
      </c>
      <c r="AF44" s="12">
        <v>-654.92999999999995</v>
      </c>
      <c r="AG44" s="12">
        <v>223.82640000000001</v>
      </c>
      <c r="AH44" s="12"/>
      <c r="AI44" s="12"/>
      <c r="AJ44" s="12">
        <v>4500</v>
      </c>
      <c r="AK44" s="16">
        <v>300</v>
      </c>
      <c r="AL44" s="12">
        <v>2500</v>
      </c>
      <c r="AM44" s="12">
        <v>2700</v>
      </c>
      <c r="AN44" s="12">
        <v>1800</v>
      </c>
      <c r="AO44" s="16">
        <v>1800</v>
      </c>
      <c r="AP44" s="12">
        <v>2500</v>
      </c>
      <c r="AQ44" s="12">
        <v>2500</v>
      </c>
      <c r="AR44" s="12">
        <v>3000</v>
      </c>
      <c r="AS44" s="12">
        <v>3000</v>
      </c>
      <c r="AT44" s="12">
        <v>3000</v>
      </c>
      <c r="AU44" s="12">
        <v>3000</v>
      </c>
      <c r="AV44" s="12">
        <v>3000</v>
      </c>
      <c r="AW44" s="12">
        <v>3000</v>
      </c>
      <c r="AX44" s="12">
        <v>0</v>
      </c>
      <c r="AY44" s="18">
        <v>0</v>
      </c>
      <c r="AZ44" s="18">
        <v>0</v>
      </c>
      <c r="BA44" s="17">
        <v>0</v>
      </c>
      <c r="BE44" s="17"/>
      <c r="BF44" s="12"/>
      <c r="BG44" s="12"/>
      <c r="BH44" s="12"/>
      <c r="BI44" s="16"/>
      <c r="BJ44" s="16"/>
    </row>
    <row r="45" spans="1:62" s="67" customFormat="1" ht="16" customHeight="1" x14ac:dyDescent="0.15">
      <c r="A45" s="67">
        <v>1007</v>
      </c>
      <c r="B45" s="68">
        <v>45738</v>
      </c>
      <c r="C45" s="69">
        <v>0.85372685185185182</v>
      </c>
      <c r="D45" s="69">
        <v>0.86069444444444443</v>
      </c>
      <c r="E45" s="70">
        <f t="shared" si="1"/>
        <v>6.9675925925926085E-3</v>
      </c>
      <c r="F45" s="71" t="s">
        <v>83</v>
      </c>
      <c r="G45" s="67" t="s">
        <v>131</v>
      </c>
      <c r="H45" s="71"/>
      <c r="I45" s="67" t="s">
        <v>122</v>
      </c>
      <c r="J45" s="67" t="s">
        <v>82</v>
      </c>
      <c r="K45" s="67">
        <v>50</v>
      </c>
      <c r="L45" s="67">
        <v>200</v>
      </c>
      <c r="M45" s="67" t="s">
        <v>77</v>
      </c>
      <c r="O45" s="71"/>
      <c r="V45" s="71"/>
      <c r="X45" s="67" t="s">
        <v>76</v>
      </c>
      <c r="Y45" s="67">
        <v>925.40700000000004</v>
      </c>
      <c r="Z45" s="67">
        <v>90.873999999999995</v>
      </c>
      <c r="AB45" s="67">
        <v>5800</v>
      </c>
      <c r="AC45" s="71">
        <v>300</v>
      </c>
      <c r="AE45" s="67" t="s">
        <v>76</v>
      </c>
      <c r="AF45" s="67">
        <v>-654.92999999999995</v>
      </c>
      <c r="AG45" s="67">
        <v>223.82640000000001</v>
      </c>
      <c r="AJ45" s="67">
        <v>4500</v>
      </c>
      <c r="AK45" s="71">
        <v>300</v>
      </c>
      <c r="AL45" s="67">
        <v>2500</v>
      </c>
      <c r="AM45" s="67">
        <v>2700</v>
      </c>
      <c r="AN45" s="67">
        <v>1800</v>
      </c>
      <c r="AO45" s="71">
        <v>1800</v>
      </c>
      <c r="AP45" s="67">
        <v>2500</v>
      </c>
      <c r="AQ45" s="67">
        <v>2500</v>
      </c>
      <c r="AR45" s="67">
        <v>3000</v>
      </c>
      <c r="AS45" s="67">
        <v>3000</v>
      </c>
      <c r="AT45" s="67">
        <v>3000</v>
      </c>
      <c r="AU45" s="67">
        <v>3000</v>
      </c>
      <c r="AV45" s="67">
        <v>3000</v>
      </c>
      <c r="AW45" s="67">
        <v>3000</v>
      </c>
      <c r="AX45" s="67">
        <v>0</v>
      </c>
      <c r="AY45" s="67">
        <v>0</v>
      </c>
      <c r="AZ45" s="67">
        <v>0</v>
      </c>
      <c r="BA45" s="72">
        <v>0</v>
      </c>
      <c r="BE45" s="72"/>
      <c r="BI45" s="71"/>
      <c r="BJ45" s="71"/>
    </row>
    <row r="46" spans="1:62" s="67" customFormat="1" ht="16" customHeight="1" x14ac:dyDescent="0.15">
      <c r="A46" s="67">
        <v>1008</v>
      </c>
      <c r="B46" s="68">
        <v>45738</v>
      </c>
      <c r="C46" s="69">
        <v>0.86861111111111111</v>
      </c>
      <c r="D46" s="69">
        <v>0.87512731481481476</v>
      </c>
      <c r="E46" s="70">
        <f t="shared" si="1"/>
        <v>6.5162037037036491E-3</v>
      </c>
      <c r="F46" s="71" t="s">
        <v>83</v>
      </c>
      <c r="G46" s="67" t="s">
        <v>132</v>
      </c>
      <c r="H46" s="71"/>
      <c r="I46" s="67" t="s">
        <v>122</v>
      </c>
      <c r="J46" s="67" t="s">
        <v>80</v>
      </c>
      <c r="K46" s="67">
        <v>50</v>
      </c>
      <c r="L46" s="67">
        <v>20</v>
      </c>
      <c r="M46" s="67" t="s">
        <v>77</v>
      </c>
      <c r="O46" s="71"/>
      <c r="V46" s="71"/>
      <c r="W46" s="67">
        <v>46.26</v>
      </c>
      <c r="X46" s="67" t="s">
        <v>76</v>
      </c>
      <c r="Y46" s="67">
        <v>925.40700000000004</v>
      </c>
      <c r="Z46" s="67">
        <v>90.873999999999995</v>
      </c>
      <c r="AB46" s="67">
        <v>5800</v>
      </c>
      <c r="AC46" s="71">
        <v>300</v>
      </c>
      <c r="AE46" s="67" t="s">
        <v>76</v>
      </c>
      <c r="AF46" s="67">
        <v>-654.92999999999995</v>
      </c>
      <c r="AG46" s="67">
        <v>223.82640000000001</v>
      </c>
      <c r="AJ46" s="67">
        <v>4500</v>
      </c>
      <c r="AK46" s="71">
        <v>300</v>
      </c>
      <c r="AL46" s="67">
        <v>2500</v>
      </c>
      <c r="AM46" s="67">
        <v>2700</v>
      </c>
      <c r="AN46" s="67">
        <v>1800</v>
      </c>
      <c r="AO46" s="71">
        <v>1800</v>
      </c>
      <c r="AP46" s="67">
        <v>2500</v>
      </c>
      <c r="AQ46" s="67">
        <v>2500</v>
      </c>
      <c r="AR46" s="67">
        <v>3000</v>
      </c>
      <c r="AS46" s="67">
        <v>3000</v>
      </c>
      <c r="AT46" s="67">
        <v>3000</v>
      </c>
      <c r="AU46" s="67">
        <v>3000</v>
      </c>
      <c r="AV46" s="67">
        <v>3000</v>
      </c>
      <c r="AW46" s="67">
        <v>3000</v>
      </c>
      <c r="AX46" s="67">
        <v>0</v>
      </c>
      <c r="AY46" s="67">
        <v>0</v>
      </c>
      <c r="AZ46" s="67">
        <v>0</v>
      </c>
      <c r="BA46" s="72">
        <v>0</v>
      </c>
      <c r="BE46" s="72"/>
      <c r="BI46" s="71"/>
      <c r="BJ46" s="71"/>
    </row>
    <row r="47" spans="1:62" s="75" customFormat="1" ht="16" customHeight="1" x14ac:dyDescent="0.15">
      <c r="A47" s="75">
        <v>1009</v>
      </c>
      <c r="B47" s="76">
        <v>45738</v>
      </c>
      <c r="C47" s="77">
        <v>0.88086805555555558</v>
      </c>
      <c r="D47" s="77">
        <v>0.92226851851851854</v>
      </c>
      <c r="E47" s="78">
        <f t="shared" si="1"/>
        <v>4.1400462962962958E-2</v>
      </c>
      <c r="F47" s="79" t="s">
        <v>74</v>
      </c>
      <c r="G47" s="75" t="s">
        <v>121</v>
      </c>
      <c r="H47" s="79"/>
      <c r="I47" s="75" t="s">
        <v>122</v>
      </c>
      <c r="J47" s="75" t="s">
        <v>82</v>
      </c>
      <c r="K47" s="75">
        <v>50</v>
      </c>
      <c r="L47" s="75">
        <v>200</v>
      </c>
      <c r="M47" s="75" t="s">
        <v>77</v>
      </c>
      <c r="O47" s="79"/>
      <c r="V47" s="79"/>
      <c r="W47" s="75">
        <v>46.26</v>
      </c>
      <c r="X47" s="75" t="s">
        <v>76</v>
      </c>
      <c r="Y47" s="75">
        <v>925.40700000000004</v>
      </c>
      <c r="Z47" s="75">
        <v>90.873999999999995</v>
      </c>
      <c r="AB47" s="75">
        <v>5800</v>
      </c>
      <c r="AC47" s="79">
        <v>300</v>
      </c>
      <c r="AE47" s="75" t="s">
        <v>76</v>
      </c>
      <c r="AF47" s="75">
        <v>-654.92999999999995</v>
      </c>
      <c r="AG47" s="75">
        <v>223.82640000000001</v>
      </c>
      <c r="AJ47" s="75">
        <v>4500</v>
      </c>
      <c r="AK47" s="79">
        <v>300</v>
      </c>
      <c r="AL47" s="75">
        <v>2500</v>
      </c>
      <c r="AM47" s="75">
        <v>2700</v>
      </c>
      <c r="AN47" s="75">
        <v>1800</v>
      </c>
      <c r="AO47" s="79">
        <v>1800</v>
      </c>
      <c r="AP47" s="75">
        <v>2500</v>
      </c>
      <c r="AQ47" s="75">
        <v>2500</v>
      </c>
      <c r="AR47" s="75">
        <v>3000</v>
      </c>
      <c r="AS47" s="75">
        <v>3000</v>
      </c>
      <c r="AT47" s="75">
        <v>3000</v>
      </c>
      <c r="AU47" s="75">
        <v>3000</v>
      </c>
      <c r="AV47" s="75">
        <v>3000</v>
      </c>
      <c r="AW47" s="75">
        <v>3000</v>
      </c>
      <c r="AX47" s="75">
        <v>0</v>
      </c>
      <c r="AY47" s="75">
        <v>0</v>
      </c>
      <c r="AZ47" s="75">
        <v>0</v>
      </c>
      <c r="BA47" s="80">
        <v>0</v>
      </c>
      <c r="BE47" s="80"/>
      <c r="BI47" s="79"/>
      <c r="BJ47" s="79"/>
    </row>
    <row r="48" spans="1:62" s="75" customFormat="1" ht="15.75" customHeight="1" x14ac:dyDescent="0.15">
      <c r="A48" s="75">
        <v>1010</v>
      </c>
      <c r="B48" s="76">
        <v>45738</v>
      </c>
      <c r="C48" s="77">
        <v>0.92317129629629635</v>
      </c>
      <c r="D48" s="77">
        <v>0.96460648148148154</v>
      </c>
      <c r="E48" s="78">
        <f t="shared" si="1"/>
        <v>4.1435185185185186E-2</v>
      </c>
      <c r="F48" s="79" t="s">
        <v>74</v>
      </c>
      <c r="G48" s="75" t="s">
        <v>121</v>
      </c>
      <c r="H48" s="79"/>
      <c r="I48" s="75" t="s">
        <v>122</v>
      </c>
      <c r="J48" s="75" t="s">
        <v>82</v>
      </c>
      <c r="K48" s="75">
        <v>50</v>
      </c>
      <c r="L48" s="75">
        <v>200</v>
      </c>
      <c r="M48" s="75" t="s">
        <v>77</v>
      </c>
      <c r="O48" s="79"/>
      <c r="V48" s="79"/>
      <c r="W48" s="75">
        <v>46.26</v>
      </c>
      <c r="X48" s="75" t="s">
        <v>76</v>
      </c>
      <c r="Y48" s="75">
        <v>925.40700000000004</v>
      </c>
      <c r="Z48" s="75">
        <v>90.873999999999995</v>
      </c>
      <c r="AB48" s="75">
        <v>5800</v>
      </c>
      <c r="AC48" s="79">
        <v>300</v>
      </c>
      <c r="AE48" s="75" t="s">
        <v>76</v>
      </c>
      <c r="AF48" s="75">
        <v>-654.92999999999995</v>
      </c>
      <c r="AG48" s="75">
        <v>223.82640000000001</v>
      </c>
      <c r="AJ48" s="75">
        <v>4500</v>
      </c>
      <c r="AK48" s="79">
        <v>300</v>
      </c>
      <c r="AL48" s="75">
        <v>2500</v>
      </c>
      <c r="AM48" s="75">
        <v>2700</v>
      </c>
      <c r="AN48" s="75">
        <v>1800</v>
      </c>
      <c r="AO48" s="79">
        <v>1800</v>
      </c>
      <c r="AP48" s="75">
        <v>2500</v>
      </c>
      <c r="AQ48" s="75">
        <v>2500</v>
      </c>
      <c r="AR48" s="75">
        <v>3000</v>
      </c>
      <c r="AS48" s="75">
        <v>3000</v>
      </c>
      <c r="AT48" s="75">
        <v>3000</v>
      </c>
      <c r="AU48" s="75">
        <v>3000</v>
      </c>
      <c r="AV48" s="75">
        <v>3000</v>
      </c>
      <c r="AW48" s="75">
        <v>3000</v>
      </c>
      <c r="AX48" s="75">
        <v>0</v>
      </c>
      <c r="AY48" s="75">
        <v>0</v>
      </c>
      <c r="AZ48" s="75">
        <v>0</v>
      </c>
      <c r="BA48" s="80">
        <v>0</v>
      </c>
      <c r="BE48" s="80"/>
      <c r="BI48" s="79"/>
      <c r="BJ48" s="79"/>
    </row>
    <row r="49" spans="1:64" ht="15.75" customHeight="1" x14ac:dyDescent="0.15">
      <c r="A49" s="12">
        <v>1011</v>
      </c>
      <c r="B49" s="30">
        <v>45738</v>
      </c>
      <c r="C49" s="26">
        <v>0.96513888888888888</v>
      </c>
      <c r="D49" s="26">
        <v>0.97325231481481478</v>
      </c>
      <c r="E49" s="15">
        <f t="shared" si="1"/>
        <v>8.113425925925899E-3</v>
      </c>
      <c r="F49" s="27" t="s">
        <v>74</v>
      </c>
      <c r="G49" s="12" t="s">
        <v>121</v>
      </c>
      <c r="H49" s="55" t="s">
        <v>133</v>
      </c>
      <c r="I49" s="20" t="s">
        <v>122</v>
      </c>
      <c r="J49" s="20" t="s">
        <v>82</v>
      </c>
      <c r="K49" s="20">
        <v>50</v>
      </c>
      <c r="L49" s="20">
        <v>200</v>
      </c>
      <c r="M49" s="20" t="s">
        <v>77</v>
      </c>
      <c r="N49" s="23"/>
      <c r="O49" s="28"/>
      <c r="P49" s="23"/>
      <c r="Q49" s="23"/>
      <c r="R49" s="23"/>
      <c r="S49" s="23"/>
      <c r="T49" s="23"/>
      <c r="U49" s="23"/>
      <c r="V49" s="28"/>
      <c r="W49" s="20">
        <v>46.26</v>
      </c>
      <c r="X49" s="20" t="s">
        <v>76</v>
      </c>
      <c r="Y49" s="20">
        <v>925.40700000000004</v>
      </c>
      <c r="Z49" s="20">
        <v>90.873999999999995</v>
      </c>
      <c r="AA49" s="31"/>
      <c r="AB49" s="20">
        <v>5800</v>
      </c>
      <c r="AC49" s="27">
        <v>300</v>
      </c>
      <c r="AD49" s="20"/>
      <c r="AE49" s="20" t="s">
        <v>76</v>
      </c>
      <c r="AF49" s="20">
        <v>-654.92999999999995</v>
      </c>
      <c r="AG49" s="12">
        <v>223.82640000000001</v>
      </c>
      <c r="AH49" s="12"/>
      <c r="AI49" s="12"/>
      <c r="AJ49" s="12">
        <v>4500</v>
      </c>
      <c r="AK49" s="16">
        <v>300</v>
      </c>
      <c r="AL49" s="12">
        <v>2500</v>
      </c>
      <c r="AM49" s="12">
        <v>2700</v>
      </c>
      <c r="AN49" s="12">
        <v>1800</v>
      </c>
      <c r="AO49" s="16">
        <v>1800</v>
      </c>
      <c r="AP49" s="12">
        <v>2500</v>
      </c>
      <c r="AQ49" s="12">
        <v>2500</v>
      </c>
      <c r="AR49" s="12">
        <v>3000</v>
      </c>
      <c r="AS49" s="12">
        <v>3000</v>
      </c>
      <c r="AT49" s="12">
        <v>3000</v>
      </c>
      <c r="AU49" s="12">
        <v>3000</v>
      </c>
      <c r="AV49" s="12">
        <v>3000</v>
      </c>
      <c r="AW49" s="12">
        <v>3000</v>
      </c>
      <c r="AX49" s="12">
        <v>0</v>
      </c>
      <c r="AY49" s="18">
        <v>0</v>
      </c>
      <c r="AZ49" s="18">
        <v>0</v>
      </c>
      <c r="BA49" s="17">
        <v>0</v>
      </c>
      <c r="BB49" s="23"/>
      <c r="BC49" s="23"/>
      <c r="BD49" s="23"/>
      <c r="BE49" s="29"/>
      <c r="BF49" s="23"/>
      <c r="BG49" s="23"/>
      <c r="BH49" s="23"/>
      <c r="BI49" s="28"/>
      <c r="BJ49" s="28"/>
      <c r="BK49" s="23"/>
      <c r="BL49" s="23"/>
    </row>
    <row r="50" spans="1:64" s="75" customFormat="1" ht="15.75" customHeight="1" x14ac:dyDescent="0.15">
      <c r="A50" s="75">
        <v>1012</v>
      </c>
      <c r="B50" s="76">
        <v>45738</v>
      </c>
      <c r="C50" s="77">
        <v>0.97409722222222217</v>
      </c>
      <c r="D50" s="78">
        <v>1.0156712962962964</v>
      </c>
      <c r="E50" s="78">
        <f t="shared" si="1"/>
        <v>4.1574074074074208E-2</v>
      </c>
      <c r="F50" s="79" t="s">
        <v>74</v>
      </c>
      <c r="G50" s="75" t="s">
        <v>121</v>
      </c>
      <c r="H50" s="79"/>
      <c r="I50" s="75" t="s">
        <v>122</v>
      </c>
      <c r="J50" s="75" t="s">
        <v>82</v>
      </c>
      <c r="K50" s="75">
        <v>50</v>
      </c>
      <c r="L50" s="75">
        <v>200</v>
      </c>
      <c r="M50" s="75" t="s">
        <v>77</v>
      </c>
      <c r="O50" s="79"/>
      <c r="V50" s="79"/>
      <c r="W50" s="75">
        <v>46.26</v>
      </c>
      <c r="X50" s="75" t="s">
        <v>76</v>
      </c>
      <c r="Y50" s="75">
        <v>925.40700000000004</v>
      </c>
      <c r="Z50" s="75">
        <v>90.873999999999995</v>
      </c>
      <c r="AB50" s="75">
        <v>5800</v>
      </c>
      <c r="AC50" s="79">
        <v>300</v>
      </c>
      <c r="AE50" s="75" t="s">
        <v>76</v>
      </c>
      <c r="AF50" s="75">
        <v>-654.92999999999995</v>
      </c>
      <c r="AG50" s="75">
        <v>223.82640000000001</v>
      </c>
      <c r="AJ50" s="75">
        <v>4500</v>
      </c>
      <c r="AK50" s="79">
        <v>300</v>
      </c>
      <c r="AL50" s="75">
        <v>2500</v>
      </c>
      <c r="AM50" s="75">
        <v>2700</v>
      </c>
      <c r="AN50" s="75">
        <v>1800</v>
      </c>
      <c r="AO50" s="79">
        <v>1800</v>
      </c>
      <c r="AP50" s="75">
        <v>2500</v>
      </c>
      <c r="AQ50" s="75">
        <v>2500</v>
      </c>
      <c r="AR50" s="75">
        <v>3000</v>
      </c>
      <c r="AS50" s="75">
        <v>3000</v>
      </c>
      <c r="AT50" s="75">
        <v>3000</v>
      </c>
      <c r="AU50" s="75">
        <v>3000</v>
      </c>
      <c r="AV50" s="75">
        <v>3000</v>
      </c>
      <c r="AW50" s="75">
        <v>3000</v>
      </c>
      <c r="AX50" s="75">
        <v>0</v>
      </c>
      <c r="AY50" s="75">
        <v>0</v>
      </c>
      <c r="AZ50" s="75">
        <v>0</v>
      </c>
      <c r="BA50" s="80">
        <v>0</v>
      </c>
      <c r="BE50" s="80"/>
      <c r="BI50" s="79"/>
      <c r="BJ50" s="79"/>
    </row>
    <row r="51" spans="1:64" s="75" customFormat="1" ht="15.75" customHeight="1" x14ac:dyDescent="0.15">
      <c r="A51" s="75">
        <v>1013</v>
      </c>
      <c r="B51" s="76">
        <v>45739</v>
      </c>
      <c r="C51" s="77">
        <v>1.6423611111111111E-2</v>
      </c>
      <c r="D51" s="77">
        <v>5.7569444444444444E-2</v>
      </c>
      <c r="E51" s="78">
        <f t="shared" si="1"/>
        <v>4.1145833333333333E-2</v>
      </c>
      <c r="F51" s="79" t="s">
        <v>74</v>
      </c>
      <c r="G51" s="75" t="s">
        <v>121</v>
      </c>
      <c r="H51" s="79"/>
      <c r="I51" s="75" t="s">
        <v>122</v>
      </c>
      <c r="J51" s="75" t="s">
        <v>82</v>
      </c>
      <c r="K51" s="75">
        <v>50</v>
      </c>
      <c r="L51" s="75">
        <v>200</v>
      </c>
      <c r="M51" s="75" t="s">
        <v>77</v>
      </c>
      <c r="O51" s="79"/>
      <c r="V51" s="79"/>
      <c r="W51" s="75">
        <v>46.26</v>
      </c>
      <c r="X51" s="75" t="s">
        <v>76</v>
      </c>
      <c r="Y51" s="75">
        <v>925.40700000000004</v>
      </c>
      <c r="Z51" s="75">
        <v>90.873999999999995</v>
      </c>
      <c r="AB51" s="75">
        <v>5800</v>
      </c>
      <c r="AC51" s="79">
        <v>300</v>
      </c>
      <c r="AE51" s="75" t="s">
        <v>76</v>
      </c>
      <c r="AF51" s="75">
        <v>-654.92999999999995</v>
      </c>
      <c r="AG51" s="75">
        <v>223.82640000000001</v>
      </c>
      <c r="AJ51" s="75">
        <v>4500</v>
      </c>
      <c r="AK51" s="79">
        <v>300</v>
      </c>
      <c r="AL51" s="75">
        <v>2500</v>
      </c>
      <c r="AM51" s="75">
        <v>2700</v>
      </c>
      <c r="AN51" s="75">
        <v>1800</v>
      </c>
      <c r="AO51" s="79">
        <v>1800</v>
      </c>
      <c r="AP51" s="75">
        <v>2500</v>
      </c>
      <c r="AQ51" s="75">
        <v>2500</v>
      </c>
      <c r="AR51" s="75">
        <v>3000</v>
      </c>
      <c r="AS51" s="75">
        <v>3000</v>
      </c>
      <c r="AT51" s="75">
        <v>3000</v>
      </c>
      <c r="AU51" s="75">
        <v>3000</v>
      </c>
      <c r="AV51" s="75">
        <v>3000</v>
      </c>
      <c r="AW51" s="75">
        <v>3000</v>
      </c>
      <c r="AX51" s="75">
        <v>0</v>
      </c>
      <c r="AY51" s="75">
        <v>0</v>
      </c>
      <c r="AZ51" s="75">
        <v>0</v>
      </c>
      <c r="BA51" s="80">
        <v>0</v>
      </c>
      <c r="BE51" s="80"/>
      <c r="BI51" s="79"/>
      <c r="BJ51" s="79"/>
    </row>
    <row r="52" spans="1:64" s="75" customFormat="1" ht="15.75" customHeight="1" x14ac:dyDescent="0.15">
      <c r="A52" s="75">
        <v>1014</v>
      </c>
      <c r="B52" s="76">
        <v>45739</v>
      </c>
      <c r="C52" s="77">
        <v>5.800925925925926E-2</v>
      </c>
      <c r="D52" s="77">
        <v>9.9293981481481483E-2</v>
      </c>
      <c r="E52" s="78">
        <f t="shared" si="1"/>
        <v>4.1284722222222223E-2</v>
      </c>
      <c r="F52" s="79" t="s">
        <v>74</v>
      </c>
      <c r="G52" s="75" t="s">
        <v>121</v>
      </c>
      <c r="H52" s="79"/>
      <c r="I52" s="75" t="s">
        <v>122</v>
      </c>
      <c r="J52" s="75" t="s">
        <v>82</v>
      </c>
      <c r="K52" s="75">
        <v>50</v>
      </c>
      <c r="L52" s="75">
        <v>200</v>
      </c>
      <c r="M52" s="75" t="s">
        <v>77</v>
      </c>
      <c r="O52" s="79"/>
      <c r="V52" s="79"/>
      <c r="W52" s="75">
        <v>46.26</v>
      </c>
      <c r="X52" s="75" t="s">
        <v>76</v>
      </c>
      <c r="Y52" s="75">
        <v>925.40700000000004</v>
      </c>
      <c r="Z52" s="75">
        <v>90.873999999999995</v>
      </c>
      <c r="AB52" s="75">
        <v>5800</v>
      </c>
      <c r="AC52" s="79">
        <v>300</v>
      </c>
      <c r="AE52" s="75" t="s">
        <v>76</v>
      </c>
      <c r="AF52" s="75">
        <v>-654.92999999999995</v>
      </c>
      <c r="AG52" s="75">
        <v>223.82640000000001</v>
      </c>
      <c r="AJ52" s="75">
        <v>4500</v>
      </c>
      <c r="AK52" s="79">
        <v>300</v>
      </c>
      <c r="AL52" s="75">
        <v>2500</v>
      </c>
      <c r="AM52" s="75">
        <v>2700</v>
      </c>
      <c r="AN52" s="75">
        <v>1800</v>
      </c>
      <c r="AO52" s="79">
        <v>1800</v>
      </c>
      <c r="AP52" s="75">
        <v>2500</v>
      </c>
      <c r="AQ52" s="75">
        <v>2500</v>
      </c>
      <c r="AR52" s="75">
        <v>3000</v>
      </c>
      <c r="AS52" s="75">
        <v>3000</v>
      </c>
      <c r="AT52" s="75">
        <v>3000</v>
      </c>
      <c r="AU52" s="75">
        <v>3000</v>
      </c>
      <c r="AV52" s="75">
        <v>3000</v>
      </c>
      <c r="AW52" s="75">
        <v>3000</v>
      </c>
      <c r="AX52" s="75">
        <v>0</v>
      </c>
      <c r="AY52" s="75">
        <v>0</v>
      </c>
      <c r="AZ52" s="75">
        <v>0</v>
      </c>
      <c r="BA52" s="80">
        <v>0</v>
      </c>
      <c r="BE52" s="80"/>
      <c r="BI52" s="79"/>
      <c r="BJ52" s="79"/>
    </row>
    <row r="53" spans="1:64" s="75" customFormat="1" ht="15.75" customHeight="1" x14ac:dyDescent="0.15">
      <c r="A53" s="75">
        <v>1015</v>
      </c>
      <c r="B53" s="76">
        <v>45739</v>
      </c>
      <c r="C53" s="77">
        <v>9.9861111111111109E-2</v>
      </c>
      <c r="D53" s="77">
        <v>0.14234953703703704</v>
      </c>
      <c r="E53" s="78">
        <f t="shared" si="1"/>
        <v>4.2488425925925929E-2</v>
      </c>
      <c r="F53" s="79" t="s">
        <v>74</v>
      </c>
      <c r="G53" s="75" t="s">
        <v>121</v>
      </c>
      <c r="H53" s="79"/>
      <c r="I53" s="75" t="s">
        <v>122</v>
      </c>
      <c r="J53" s="75" t="s">
        <v>82</v>
      </c>
      <c r="K53" s="75">
        <v>50</v>
      </c>
      <c r="L53" s="75">
        <v>200</v>
      </c>
      <c r="M53" s="75" t="s">
        <v>77</v>
      </c>
      <c r="O53" s="79"/>
      <c r="V53" s="79"/>
      <c r="W53" s="75">
        <v>46.26</v>
      </c>
      <c r="X53" s="75" t="s">
        <v>76</v>
      </c>
      <c r="Y53" s="75">
        <v>925.40700000000004</v>
      </c>
      <c r="Z53" s="75">
        <v>90.873999999999995</v>
      </c>
      <c r="AB53" s="75">
        <v>5800</v>
      </c>
      <c r="AC53" s="79">
        <v>300</v>
      </c>
      <c r="AE53" s="75" t="s">
        <v>76</v>
      </c>
      <c r="AF53" s="75">
        <v>-654.92999999999995</v>
      </c>
      <c r="AG53" s="75">
        <v>223.82640000000001</v>
      </c>
      <c r="AJ53" s="75">
        <v>4500</v>
      </c>
      <c r="AK53" s="79">
        <v>300</v>
      </c>
      <c r="AL53" s="75">
        <v>2500</v>
      </c>
      <c r="AM53" s="75">
        <v>2700</v>
      </c>
      <c r="AN53" s="75">
        <v>1800</v>
      </c>
      <c r="AO53" s="79">
        <v>1800</v>
      </c>
      <c r="AP53" s="75">
        <v>2500</v>
      </c>
      <c r="AQ53" s="75">
        <v>2500</v>
      </c>
      <c r="AR53" s="75">
        <v>3000</v>
      </c>
      <c r="AS53" s="75">
        <v>3000</v>
      </c>
      <c r="AT53" s="75">
        <v>3000</v>
      </c>
      <c r="AU53" s="75">
        <v>3000</v>
      </c>
      <c r="AV53" s="75">
        <v>3000</v>
      </c>
      <c r="AW53" s="75">
        <v>3000</v>
      </c>
      <c r="AX53" s="75">
        <v>0</v>
      </c>
      <c r="AY53" s="75">
        <v>0</v>
      </c>
      <c r="AZ53" s="75">
        <v>0</v>
      </c>
      <c r="BA53" s="80">
        <v>0</v>
      </c>
      <c r="BE53" s="80"/>
      <c r="BI53" s="79"/>
      <c r="BJ53" s="79"/>
    </row>
    <row r="54" spans="1:64" s="81" customFormat="1" ht="15.75" customHeight="1" x14ac:dyDescent="0.15">
      <c r="A54" s="81">
        <v>1016</v>
      </c>
      <c r="B54" s="82">
        <v>45739</v>
      </c>
      <c r="C54" s="83">
        <v>0.14403935185185185</v>
      </c>
      <c r="D54" s="83">
        <v>0.18546296296296297</v>
      </c>
      <c r="E54" s="84">
        <f t="shared" si="1"/>
        <v>4.1423611111111119E-2</v>
      </c>
      <c r="F54" s="85" t="s">
        <v>74</v>
      </c>
      <c r="G54" s="81" t="s">
        <v>120</v>
      </c>
      <c r="H54" s="85"/>
      <c r="I54" s="81" t="s">
        <v>96</v>
      </c>
      <c r="J54" s="81" t="s">
        <v>82</v>
      </c>
      <c r="K54" s="81">
        <v>50</v>
      </c>
      <c r="L54" s="81">
        <v>200</v>
      </c>
      <c r="M54" s="81" t="s">
        <v>77</v>
      </c>
      <c r="O54" s="85"/>
      <c r="V54" s="85"/>
      <c r="W54" s="81">
        <v>46.26</v>
      </c>
      <c r="X54" s="81" t="s">
        <v>76</v>
      </c>
      <c r="Y54" s="81">
        <v>925.40700000000004</v>
      </c>
      <c r="Z54" s="81">
        <v>90.873999999999995</v>
      </c>
      <c r="AB54" s="81">
        <v>5800</v>
      </c>
      <c r="AC54" s="85">
        <v>300</v>
      </c>
      <c r="AE54" s="81" t="s">
        <v>76</v>
      </c>
      <c r="AF54" s="81">
        <v>-654.92999999999995</v>
      </c>
      <c r="AG54" s="81">
        <v>223.82640000000001</v>
      </c>
      <c r="AJ54" s="81">
        <v>4500</v>
      </c>
      <c r="AK54" s="85">
        <v>300</v>
      </c>
      <c r="AL54" s="81">
        <v>2500</v>
      </c>
      <c r="AM54" s="81">
        <v>2700</v>
      </c>
      <c r="AN54" s="81">
        <v>1800</v>
      </c>
      <c r="AO54" s="85">
        <v>1800</v>
      </c>
      <c r="AP54" s="81">
        <v>2500</v>
      </c>
      <c r="AQ54" s="81">
        <v>2500</v>
      </c>
      <c r="AR54" s="81">
        <v>3000</v>
      </c>
      <c r="AS54" s="81">
        <v>3000</v>
      </c>
      <c r="AT54" s="81">
        <v>3000</v>
      </c>
      <c r="AU54" s="81">
        <v>3000</v>
      </c>
      <c r="AV54" s="81">
        <v>3000</v>
      </c>
      <c r="AW54" s="81">
        <v>3000</v>
      </c>
      <c r="AX54" s="81">
        <v>0</v>
      </c>
      <c r="AY54" s="81">
        <v>0</v>
      </c>
      <c r="AZ54" s="81">
        <v>0</v>
      </c>
      <c r="BA54" s="86">
        <v>0</v>
      </c>
      <c r="BE54" s="86"/>
      <c r="BI54" s="85"/>
      <c r="BJ54" s="85"/>
    </row>
    <row r="55" spans="1:64" ht="15.75" customHeight="1" x14ac:dyDescent="0.15">
      <c r="A55" s="12">
        <v>1017</v>
      </c>
      <c r="B55" s="13">
        <v>45739</v>
      </c>
      <c r="C55" s="14">
        <v>0.18938657407407408</v>
      </c>
      <c r="D55" s="14">
        <v>0.19668981481481482</v>
      </c>
      <c r="E55" s="15">
        <f t="shared" si="1"/>
        <v>7.3032407407407351E-3</v>
      </c>
      <c r="F55" s="16" t="s">
        <v>83</v>
      </c>
      <c r="G55" s="12" t="s">
        <v>134</v>
      </c>
      <c r="H55" s="16"/>
      <c r="I55" s="12" t="s">
        <v>122</v>
      </c>
      <c r="J55" s="12" t="s">
        <v>82</v>
      </c>
      <c r="K55" s="20">
        <v>2</v>
      </c>
      <c r="L55" s="20">
        <v>20</v>
      </c>
      <c r="M55" s="20" t="s">
        <v>77</v>
      </c>
      <c r="N55" s="12"/>
      <c r="O55" s="16"/>
      <c r="V55" s="16"/>
      <c r="W55" s="20">
        <v>46.26</v>
      </c>
      <c r="X55" s="20" t="s">
        <v>76</v>
      </c>
      <c r="Y55" s="20">
        <v>925.40700000000004</v>
      </c>
      <c r="Z55" s="20">
        <v>90.873999999999995</v>
      </c>
      <c r="AA55" s="31"/>
      <c r="AB55" s="20">
        <v>5800</v>
      </c>
      <c r="AC55" s="27">
        <v>300</v>
      </c>
      <c r="AD55" s="20"/>
      <c r="AE55" s="20" t="s">
        <v>76</v>
      </c>
      <c r="AF55" s="20">
        <v>-654.92999999999995</v>
      </c>
      <c r="AG55" s="12">
        <v>223.82640000000001</v>
      </c>
      <c r="AH55" s="12"/>
      <c r="AI55" s="12"/>
      <c r="AJ55" s="12">
        <v>4500</v>
      </c>
      <c r="AK55" s="16">
        <v>300</v>
      </c>
      <c r="AL55" s="12">
        <v>2500</v>
      </c>
      <c r="AM55" s="12">
        <v>2700</v>
      </c>
      <c r="AN55" s="12">
        <v>1800</v>
      </c>
      <c r="AO55" s="16">
        <v>1800</v>
      </c>
      <c r="AP55" s="12">
        <v>2500</v>
      </c>
      <c r="AQ55" s="12">
        <v>2500</v>
      </c>
      <c r="AR55" s="12">
        <v>3000</v>
      </c>
      <c r="AS55" s="12">
        <v>3000</v>
      </c>
      <c r="AT55" s="12">
        <v>3000</v>
      </c>
      <c r="AU55" s="12">
        <v>3000</v>
      </c>
      <c r="AV55" s="12">
        <v>3000</v>
      </c>
      <c r="AW55" s="12">
        <v>3000</v>
      </c>
      <c r="AX55" s="12">
        <v>0</v>
      </c>
      <c r="AY55" s="18">
        <v>0</v>
      </c>
      <c r="AZ55" s="18">
        <v>0</v>
      </c>
      <c r="BA55" s="17">
        <v>0</v>
      </c>
      <c r="BE55" s="17"/>
      <c r="BI55" s="16"/>
      <c r="BJ55" s="16"/>
    </row>
    <row r="56" spans="1:64" ht="15.75" customHeight="1" x14ac:dyDescent="0.15">
      <c r="A56" s="12">
        <v>1018</v>
      </c>
      <c r="B56" s="13">
        <v>45739</v>
      </c>
      <c r="C56" s="14">
        <v>0.20179398148148148</v>
      </c>
      <c r="D56" s="14">
        <v>0.20878472222222222</v>
      </c>
      <c r="E56" s="15">
        <f t="shared" si="1"/>
        <v>6.9907407407407418E-3</v>
      </c>
      <c r="F56" s="16" t="s">
        <v>83</v>
      </c>
      <c r="G56" s="12" t="s">
        <v>135</v>
      </c>
      <c r="H56" s="16"/>
      <c r="I56" s="12" t="s">
        <v>122</v>
      </c>
      <c r="J56" s="12" t="s">
        <v>82</v>
      </c>
      <c r="K56" s="18">
        <v>2</v>
      </c>
      <c r="L56" s="18">
        <v>20</v>
      </c>
      <c r="M56" s="12" t="s">
        <v>77</v>
      </c>
      <c r="N56" s="12"/>
      <c r="O56" s="16"/>
      <c r="V56" s="16"/>
      <c r="W56" s="20">
        <v>46.26</v>
      </c>
      <c r="X56" s="20" t="s">
        <v>76</v>
      </c>
      <c r="Y56" s="20">
        <v>925.40700000000004</v>
      </c>
      <c r="Z56" s="20">
        <v>90.873999999999995</v>
      </c>
      <c r="AA56" s="31"/>
      <c r="AB56" s="20">
        <v>5800</v>
      </c>
      <c r="AC56" s="27">
        <v>300</v>
      </c>
      <c r="AD56" s="20"/>
      <c r="AE56" s="20" t="s">
        <v>76</v>
      </c>
      <c r="AF56" s="20">
        <v>-654.92999999999995</v>
      </c>
      <c r="AG56" s="12">
        <v>223.82640000000001</v>
      </c>
      <c r="AH56" s="12"/>
      <c r="AI56" s="12"/>
      <c r="AJ56" s="12">
        <v>4500</v>
      </c>
      <c r="AK56" s="16">
        <v>300</v>
      </c>
      <c r="AL56" s="12">
        <v>2500</v>
      </c>
      <c r="AM56" s="12">
        <v>2700</v>
      </c>
      <c r="AN56" s="12">
        <v>1800</v>
      </c>
      <c r="AO56" s="16">
        <v>1800</v>
      </c>
      <c r="AP56" s="12">
        <v>2500</v>
      </c>
      <c r="AQ56" s="12">
        <v>2500</v>
      </c>
      <c r="AR56" s="12">
        <v>3000</v>
      </c>
      <c r="AS56" s="12">
        <v>3000</v>
      </c>
      <c r="AT56" s="12">
        <v>3000</v>
      </c>
      <c r="AU56" s="12">
        <v>3000</v>
      </c>
      <c r="AV56" s="12">
        <v>3000</v>
      </c>
      <c r="AW56" s="12">
        <v>3000</v>
      </c>
      <c r="AX56" s="12">
        <v>0</v>
      </c>
      <c r="AY56" s="18">
        <v>0</v>
      </c>
      <c r="AZ56" s="18">
        <v>0</v>
      </c>
      <c r="BA56" s="17">
        <v>0</v>
      </c>
      <c r="BE56" s="17"/>
      <c r="BI56" s="16"/>
      <c r="BJ56" s="16"/>
    </row>
    <row r="57" spans="1:64" ht="15.75" customHeight="1" x14ac:dyDescent="0.15">
      <c r="A57" s="12">
        <v>1019</v>
      </c>
      <c r="B57" s="13">
        <v>45739</v>
      </c>
      <c r="C57" s="14">
        <v>0.21394675925925927</v>
      </c>
      <c r="D57" s="14">
        <v>0.25575231481481481</v>
      </c>
      <c r="E57" s="15">
        <f t="shared" si="1"/>
        <v>4.180555555555554E-2</v>
      </c>
      <c r="F57" s="16" t="s">
        <v>74</v>
      </c>
      <c r="G57" s="12" t="s">
        <v>136</v>
      </c>
      <c r="H57" s="16"/>
      <c r="I57" s="12" t="s">
        <v>137</v>
      </c>
      <c r="J57" s="12" t="s">
        <v>82</v>
      </c>
      <c r="K57" s="18">
        <v>50</v>
      </c>
      <c r="L57" s="18">
        <v>200</v>
      </c>
      <c r="M57" s="12" t="s">
        <v>77</v>
      </c>
      <c r="N57" s="12"/>
      <c r="O57" s="16"/>
      <c r="V57" s="16"/>
      <c r="W57" s="20">
        <v>46.26</v>
      </c>
      <c r="X57" s="20" t="s">
        <v>76</v>
      </c>
      <c r="Y57" s="20">
        <v>925.40700000000004</v>
      </c>
      <c r="Z57" s="20">
        <v>90.873999999999995</v>
      </c>
      <c r="AA57" s="31"/>
      <c r="AB57" s="20">
        <v>5800</v>
      </c>
      <c r="AC57" s="27">
        <v>300</v>
      </c>
      <c r="AD57" s="20"/>
      <c r="AE57" s="20" t="s">
        <v>76</v>
      </c>
      <c r="AF57" s="20">
        <v>-654.92999999999995</v>
      </c>
      <c r="AG57" s="12">
        <v>223.82640000000001</v>
      </c>
      <c r="AH57" s="12"/>
      <c r="AI57" s="12"/>
      <c r="AJ57" s="12">
        <v>4500</v>
      </c>
      <c r="AK57" s="16">
        <v>300</v>
      </c>
      <c r="AL57" s="12">
        <v>2500</v>
      </c>
      <c r="AM57" s="12">
        <v>2700</v>
      </c>
      <c r="AN57" s="12">
        <v>1800</v>
      </c>
      <c r="AO57" s="16">
        <v>1800</v>
      </c>
      <c r="AP57" s="12">
        <v>2500</v>
      </c>
      <c r="AQ57" s="12">
        <v>2500</v>
      </c>
      <c r="AR57" s="12">
        <v>3000</v>
      </c>
      <c r="AS57" s="12">
        <v>3000</v>
      </c>
      <c r="AT57" s="12">
        <v>3000</v>
      </c>
      <c r="AU57" s="12">
        <v>3000</v>
      </c>
      <c r="AV57" s="12">
        <v>3000</v>
      </c>
      <c r="AW57" s="12">
        <v>3000</v>
      </c>
      <c r="AX57" s="12">
        <v>0</v>
      </c>
      <c r="AY57" s="18">
        <v>0</v>
      </c>
      <c r="AZ57" s="18">
        <v>0</v>
      </c>
      <c r="BA57" s="17">
        <v>0</v>
      </c>
      <c r="BE57" s="17"/>
      <c r="BI57" s="16"/>
      <c r="BJ57" s="16"/>
    </row>
    <row r="58" spans="1:64" ht="15.75" customHeight="1" x14ac:dyDescent="0.15">
      <c r="A58" s="12">
        <v>1020</v>
      </c>
      <c r="B58" s="13">
        <v>45739</v>
      </c>
      <c r="C58" s="14">
        <v>0.25605324074074076</v>
      </c>
      <c r="D58" s="14">
        <v>0.29773148148148149</v>
      </c>
      <c r="E58" s="15">
        <f t="shared" si="1"/>
        <v>4.1678240740740724E-2</v>
      </c>
      <c r="F58" s="16" t="s">
        <v>74</v>
      </c>
      <c r="G58" s="12" t="s">
        <v>136</v>
      </c>
      <c r="H58" s="16"/>
      <c r="I58" s="12" t="s">
        <v>137</v>
      </c>
      <c r="J58" s="12" t="s">
        <v>82</v>
      </c>
      <c r="K58" s="18">
        <v>50</v>
      </c>
      <c r="L58" s="18">
        <v>200</v>
      </c>
      <c r="M58" s="12" t="s">
        <v>77</v>
      </c>
      <c r="N58" s="12"/>
      <c r="O58" s="16"/>
      <c r="V58" s="16"/>
      <c r="W58" s="20">
        <v>46.26</v>
      </c>
      <c r="X58" s="20" t="s">
        <v>76</v>
      </c>
      <c r="Y58" s="20">
        <v>925.40700000000004</v>
      </c>
      <c r="Z58" s="20">
        <v>90.873999999999995</v>
      </c>
      <c r="AA58" s="31"/>
      <c r="AB58" s="20">
        <v>5800</v>
      </c>
      <c r="AC58" s="27">
        <v>300</v>
      </c>
      <c r="AD58" s="20"/>
      <c r="AE58" s="20" t="s">
        <v>76</v>
      </c>
      <c r="AF58" s="20">
        <v>-654.92999999999995</v>
      </c>
      <c r="AG58" s="12">
        <v>223.82640000000001</v>
      </c>
      <c r="AH58" s="12"/>
      <c r="AI58" s="12"/>
      <c r="AJ58" s="12">
        <v>4500</v>
      </c>
      <c r="AK58" s="16">
        <v>300</v>
      </c>
      <c r="AL58" s="12">
        <v>2500</v>
      </c>
      <c r="AM58" s="12">
        <v>2700</v>
      </c>
      <c r="AN58" s="12">
        <v>1800</v>
      </c>
      <c r="AO58" s="16">
        <v>1800</v>
      </c>
      <c r="AP58" s="12">
        <v>2500</v>
      </c>
      <c r="AQ58" s="12">
        <v>2500</v>
      </c>
      <c r="AR58" s="12">
        <v>3000</v>
      </c>
      <c r="AS58" s="12">
        <v>3000</v>
      </c>
      <c r="AT58" s="12">
        <v>3000</v>
      </c>
      <c r="AU58" s="12">
        <v>3000</v>
      </c>
      <c r="AV58" s="12">
        <v>3000</v>
      </c>
      <c r="AW58" s="12">
        <v>3000</v>
      </c>
      <c r="AX58" s="12">
        <v>0</v>
      </c>
      <c r="AY58" s="18">
        <v>0</v>
      </c>
      <c r="AZ58" s="18">
        <v>0</v>
      </c>
      <c r="BA58" s="17">
        <v>0</v>
      </c>
      <c r="BE58" s="17"/>
      <c r="BI58" s="16"/>
      <c r="BJ58" s="16"/>
    </row>
    <row r="59" spans="1:64" ht="15.75" customHeight="1" x14ac:dyDescent="0.15">
      <c r="A59" s="12">
        <v>1021</v>
      </c>
      <c r="B59" s="13">
        <v>45739</v>
      </c>
      <c r="C59" s="14">
        <v>0.29796296296296299</v>
      </c>
      <c r="D59" s="14">
        <v>0.33967592592592594</v>
      </c>
      <c r="E59" s="15">
        <f t="shared" si="1"/>
        <v>4.1712962962962952E-2</v>
      </c>
      <c r="F59" s="16" t="s">
        <v>74</v>
      </c>
      <c r="G59" s="12" t="s">
        <v>136</v>
      </c>
      <c r="H59" s="16"/>
      <c r="I59" s="12" t="s">
        <v>137</v>
      </c>
      <c r="J59" s="12" t="s">
        <v>82</v>
      </c>
      <c r="K59" s="18">
        <v>50</v>
      </c>
      <c r="L59" s="18">
        <v>200</v>
      </c>
      <c r="M59" s="12" t="s">
        <v>77</v>
      </c>
      <c r="N59" s="12"/>
      <c r="O59" s="16"/>
      <c r="V59" s="16"/>
      <c r="W59" s="20">
        <v>46.26</v>
      </c>
      <c r="X59" s="20" t="s">
        <v>76</v>
      </c>
      <c r="Y59" s="20">
        <v>925.40700000000004</v>
      </c>
      <c r="Z59" s="20">
        <v>90.873999999999995</v>
      </c>
      <c r="AA59" s="31"/>
      <c r="AB59" s="20">
        <v>5800</v>
      </c>
      <c r="AC59" s="27">
        <v>300</v>
      </c>
      <c r="AD59" s="20"/>
      <c r="AE59" s="20" t="s">
        <v>76</v>
      </c>
      <c r="AF59" s="20">
        <v>-654.92999999999995</v>
      </c>
      <c r="AG59" s="12">
        <v>223.82640000000001</v>
      </c>
      <c r="AH59" s="12"/>
      <c r="AI59" s="12"/>
      <c r="AJ59" s="12">
        <v>4500</v>
      </c>
      <c r="AK59" s="16">
        <v>300</v>
      </c>
      <c r="AL59" s="12">
        <v>2500</v>
      </c>
      <c r="AM59" s="12">
        <v>2700</v>
      </c>
      <c r="AN59" s="12">
        <v>1800</v>
      </c>
      <c r="AO59" s="16">
        <v>1800</v>
      </c>
      <c r="AP59" s="12">
        <v>2500</v>
      </c>
      <c r="AQ59" s="12">
        <v>2500</v>
      </c>
      <c r="AR59" s="12">
        <v>3000</v>
      </c>
      <c r="AS59" s="12">
        <v>3000</v>
      </c>
      <c r="AT59" s="12">
        <v>3000</v>
      </c>
      <c r="AU59" s="12">
        <v>3000</v>
      </c>
      <c r="AV59" s="12">
        <v>3000</v>
      </c>
      <c r="AW59" s="12">
        <v>3000</v>
      </c>
      <c r="AX59" s="12">
        <v>0</v>
      </c>
      <c r="AY59" s="18">
        <v>0</v>
      </c>
      <c r="AZ59" s="18">
        <v>0</v>
      </c>
      <c r="BA59" s="17">
        <v>0</v>
      </c>
      <c r="BE59" s="17"/>
      <c r="BI59" s="16"/>
      <c r="BJ59" s="16"/>
    </row>
    <row r="60" spans="1:64" ht="15.75" customHeight="1" x14ac:dyDescent="0.15">
      <c r="A60" s="12">
        <v>1022</v>
      </c>
      <c r="B60" s="13">
        <v>45739</v>
      </c>
      <c r="C60" s="14">
        <v>0.33988425925925925</v>
      </c>
      <c r="D60" s="14">
        <v>0.38156250000000003</v>
      </c>
      <c r="E60" s="15">
        <f t="shared" si="1"/>
        <v>4.167824074074078E-2</v>
      </c>
      <c r="F60" s="16" t="s">
        <v>74</v>
      </c>
      <c r="G60" s="12" t="s">
        <v>136</v>
      </c>
      <c r="H60" s="16"/>
      <c r="I60" s="12" t="s">
        <v>137</v>
      </c>
      <c r="J60" s="12" t="s">
        <v>82</v>
      </c>
      <c r="K60" s="18">
        <v>50</v>
      </c>
      <c r="L60" s="18">
        <v>200</v>
      </c>
      <c r="M60" s="12" t="s">
        <v>77</v>
      </c>
      <c r="N60" s="12"/>
      <c r="O60" s="16"/>
      <c r="V60" s="16"/>
      <c r="W60" s="20">
        <v>46.26</v>
      </c>
      <c r="X60" s="12" t="s">
        <v>76</v>
      </c>
      <c r="Y60" s="20">
        <v>925.40700000000004</v>
      </c>
      <c r="Z60" s="20">
        <v>90.873999999999995</v>
      </c>
      <c r="AA60" s="31"/>
      <c r="AB60" s="20">
        <v>5800</v>
      </c>
      <c r="AC60" s="27">
        <v>300</v>
      </c>
      <c r="AD60" s="20"/>
      <c r="AE60" s="12" t="s">
        <v>76</v>
      </c>
      <c r="AF60" s="20">
        <v>-654.92999999999995</v>
      </c>
      <c r="AG60" s="12">
        <v>223.82640000000001</v>
      </c>
      <c r="AH60" s="12"/>
      <c r="AI60" s="12"/>
      <c r="AJ60" s="12">
        <v>4500</v>
      </c>
      <c r="AK60" s="16">
        <v>300</v>
      </c>
      <c r="AL60" s="12">
        <v>2500</v>
      </c>
      <c r="AM60" s="12">
        <v>2700</v>
      </c>
      <c r="AN60" s="12">
        <v>1800</v>
      </c>
      <c r="AO60" s="16">
        <v>1800</v>
      </c>
      <c r="AP60" s="12">
        <v>2500</v>
      </c>
      <c r="AQ60" s="12">
        <v>2500</v>
      </c>
      <c r="AR60" s="12">
        <v>3000</v>
      </c>
      <c r="AS60" s="12">
        <v>3000</v>
      </c>
      <c r="AT60" s="12">
        <v>3000</v>
      </c>
      <c r="AU60" s="12">
        <v>3000</v>
      </c>
      <c r="AV60" s="12">
        <v>3000</v>
      </c>
      <c r="AW60" s="12">
        <v>3000</v>
      </c>
      <c r="AX60" s="12">
        <v>0</v>
      </c>
      <c r="AY60" s="18">
        <v>0</v>
      </c>
      <c r="AZ60" s="18">
        <v>0</v>
      </c>
      <c r="BA60" s="17">
        <v>0</v>
      </c>
      <c r="BE60" s="17"/>
      <c r="BI60" s="16"/>
      <c r="BJ60" s="16"/>
    </row>
    <row r="61" spans="1:64" ht="15.75" customHeight="1" x14ac:dyDescent="0.15">
      <c r="A61" s="12">
        <v>1023</v>
      </c>
      <c r="B61" s="13">
        <v>45739</v>
      </c>
      <c r="C61" s="14">
        <v>0.38173611111111111</v>
      </c>
      <c r="D61" s="14">
        <v>0.42128472222222224</v>
      </c>
      <c r="E61" s="15">
        <f t="shared" si="1"/>
        <v>3.9548611111111132E-2</v>
      </c>
      <c r="F61" s="16" t="s">
        <v>74</v>
      </c>
      <c r="G61" s="12" t="s">
        <v>136</v>
      </c>
      <c r="H61" s="34" t="s">
        <v>138</v>
      </c>
      <c r="I61" s="12" t="s">
        <v>137</v>
      </c>
      <c r="J61" s="12" t="s">
        <v>82</v>
      </c>
      <c r="K61" s="18">
        <v>50</v>
      </c>
      <c r="L61" s="18">
        <v>200</v>
      </c>
      <c r="M61" s="12" t="s">
        <v>77</v>
      </c>
      <c r="N61" s="12"/>
      <c r="O61" s="16"/>
      <c r="V61" s="16"/>
      <c r="W61" s="20">
        <v>46.26</v>
      </c>
      <c r="X61" s="12" t="s">
        <v>76</v>
      </c>
      <c r="Y61" s="20">
        <v>925.40700000000004</v>
      </c>
      <c r="Z61" s="20">
        <v>90.873999999999995</v>
      </c>
      <c r="AA61" s="31"/>
      <c r="AB61" s="20">
        <v>5800</v>
      </c>
      <c r="AC61" s="27">
        <v>300</v>
      </c>
      <c r="AD61" s="20"/>
      <c r="AE61" s="12" t="s">
        <v>76</v>
      </c>
      <c r="AF61" s="20">
        <v>-654.92999999999995</v>
      </c>
      <c r="AG61" s="12">
        <v>223.82640000000001</v>
      </c>
      <c r="AH61" s="12"/>
      <c r="AJ61" s="12">
        <v>4500</v>
      </c>
      <c r="AK61" s="16">
        <v>300</v>
      </c>
      <c r="AL61" s="12">
        <v>2500</v>
      </c>
      <c r="AM61" s="12">
        <v>2700</v>
      </c>
      <c r="AN61" s="12">
        <v>1800</v>
      </c>
      <c r="AO61" s="16">
        <v>1800</v>
      </c>
      <c r="AP61" s="12">
        <v>2500</v>
      </c>
      <c r="AQ61" s="12">
        <v>2500</v>
      </c>
      <c r="AR61" s="12">
        <v>3000</v>
      </c>
      <c r="AS61" s="12">
        <v>3000</v>
      </c>
      <c r="AT61" s="12">
        <v>3000</v>
      </c>
      <c r="AU61" s="12">
        <v>3000</v>
      </c>
      <c r="AV61" s="12">
        <v>3000</v>
      </c>
      <c r="AW61" s="12">
        <v>3000</v>
      </c>
      <c r="AX61" s="12">
        <v>0</v>
      </c>
      <c r="AY61" s="18">
        <v>0</v>
      </c>
      <c r="AZ61" s="18">
        <v>0</v>
      </c>
      <c r="BA61" s="17">
        <v>0</v>
      </c>
      <c r="BE61" s="17"/>
      <c r="BI61" s="16"/>
      <c r="BJ61" s="16"/>
    </row>
    <row r="62" spans="1:64" ht="15.75" customHeight="1" x14ac:dyDescent="0.15">
      <c r="A62" s="12">
        <v>1024</v>
      </c>
      <c r="B62" s="13">
        <v>45739</v>
      </c>
      <c r="C62" s="14">
        <v>0.42789351851851853</v>
      </c>
      <c r="D62" s="14">
        <v>0.46960648148148149</v>
      </c>
      <c r="E62" s="15">
        <f t="shared" si="1"/>
        <v>4.1712962962962952E-2</v>
      </c>
      <c r="F62" s="16" t="s">
        <v>74</v>
      </c>
      <c r="G62" s="12" t="s">
        <v>136</v>
      </c>
      <c r="H62" s="16"/>
      <c r="I62" s="12" t="s">
        <v>137</v>
      </c>
      <c r="J62" s="12" t="s">
        <v>82</v>
      </c>
      <c r="K62" s="18">
        <v>50</v>
      </c>
      <c r="L62" s="18">
        <v>200</v>
      </c>
      <c r="M62" s="12" t="s">
        <v>77</v>
      </c>
      <c r="N62" s="12"/>
      <c r="O62" s="16"/>
      <c r="V62" s="16"/>
      <c r="W62" s="20">
        <v>46.26</v>
      </c>
      <c r="X62" s="12" t="s">
        <v>76</v>
      </c>
      <c r="Y62" s="20">
        <v>925.40700000000004</v>
      </c>
      <c r="Z62" s="20">
        <v>90.873999999999995</v>
      </c>
      <c r="AA62" s="31"/>
      <c r="AB62" s="20">
        <v>5800</v>
      </c>
      <c r="AC62" s="27">
        <v>300</v>
      </c>
      <c r="AD62" s="20"/>
      <c r="AE62" s="12" t="s">
        <v>76</v>
      </c>
      <c r="AF62" s="20">
        <v>-654.92999999999995</v>
      </c>
      <c r="AG62" s="12">
        <v>223.82640000000001</v>
      </c>
      <c r="AH62" s="12"/>
      <c r="AJ62" s="12">
        <v>4500</v>
      </c>
      <c r="AK62" s="16">
        <v>300</v>
      </c>
      <c r="AL62" s="12">
        <v>2500</v>
      </c>
      <c r="AM62" s="12">
        <v>2700</v>
      </c>
      <c r="AN62" s="12">
        <v>1800</v>
      </c>
      <c r="AO62" s="16">
        <v>1800</v>
      </c>
      <c r="AP62" s="12">
        <v>2500</v>
      </c>
      <c r="AQ62" s="12">
        <v>2500</v>
      </c>
      <c r="AR62" s="12">
        <v>3000</v>
      </c>
      <c r="AS62" s="12">
        <v>3000</v>
      </c>
      <c r="AT62" s="12">
        <v>3000</v>
      </c>
      <c r="AU62" s="12">
        <v>3000</v>
      </c>
      <c r="AV62" s="12">
        <v>3000</v>
      </c>
      <c r="AW62" s="12">
        <v>3000</v>
      </c>
      <c r="AX62" s="12">
        <v>0</v>
      </c>
      <c r="AY62" s="18">
        <v>0</v>
      </c>
      <c r="AZ62" s="18">
        <v>0</v>
      </c>
      <c r="BA62" s="17">
        <v>0</v>
      </c>
      <c r="BE62" s="17"/>
      <c r="BI62" s="16"/>
      <c r="BJ62" s="16"/>
    </row>
    <row r="63" spans="1:64" ht="15.75" customHeight="1" x14ac:dyDescent="0.15">
      <c r="A63" s="12">
        <v>1025</v>
      </c>
      <c r="B63" s="13">
        <v>45739</v>
      </c>
      <c r="C63" s="14">
        <v>0.46998842592592593</v>
      </c>
      <c r="D63" s="14">
        <v>0.47842592592592592</v>
      </c>
      <c r="E63" s="15">
        <f t="shared" si="1"/>
        <v>8.4374999999999867E-3</v>
      </c>
      <c r="F63" s="16" t="s">
        <v>74</v>
      </c>
      <c r="G63" s="12" t="s">
        <v>136</v>
      </c>
      <c r="H63" s="34" t="s">
        <v>139</v>
      </c>
      <c r="I63" s="12" t="s">
        <v>137</v>
      </c>
      <c r="J63" s="12" t="s">
        <v>82</v>
      </c>
      <c r="K63" s="18">
        <v>50</v>
      </c>
      <c r="L63" s="18">
        <v>200</v>
      </c>
      <c r="M63" s="12" t="s">
        <v>77</v>
      </c>
      <c r="N63" s="12"/>
      <c r="O63" s="16"/>
      <c r="V63" s="16"/>
      <c r="W63" s="20">
        <v>46.26</v>
      </c>
      <c r="X63" s="12" t="s">
        <v>76</v>
      </c>
      <c r="Y63" s="20">
        <v>925.40700000000004</v>
      </c>
      <c r="Z63" s="20">
        <v>90.873999999999995</v>
      </c>
      <c r="AA63" s="31"/>
      <c r="AB63" s="20">
        <v>5800</v>
      </c>
      <c r="AC63" s="27">
        <v>300</v>
      </c>
      <c r="AD63" s="20"/>
      <c r="AE63" s="12" t="s">
        <v>76</v>
      </c>
      <c r="AF63" s="20">
        <v>-654.92999999999995</v>
      </c>
      <c r="AG63" s="12">
        <v>223.82640000000001</v>
      </c>
      <c r="AH63" s="12"/>
      <c r="AJ63" s="12">
        <v>4500</v>
      </c>
      <c r="AK63" s="16">
        <v>300</v>
      </c>
      <c r="AL63" s="12">
        <v>2500</v>
      </c>
      <c r="AM63" s="12">
        <v>2700</v>
      </c>
      <c r="AN63" s="12">
        <v>1800</v>
      </c>
      <c r="AO63" s="16">
        <v>1800</v>
      </c>
      <c r="AP63" s="12">
        <v>2500</v>
      </c>
      <c r="AQ63" s="12">
        <v>2500</v>
      </c>
      <c r="AR63" s="12">
        <v>3000</v>
      </c>
      <c r="AS63" s="12">
        <v>3000</v>
      </c>
      <c r="AT63" s="12">
        <v>3000</v>
      </c>
      <c r="AU63" s="12">
        <v>3000</v>
      </c>
      <c r="AV63" s="12">
        <v>3000</v>
      </c>
      <c r="AW63" s="12">
        <v>3000</v>
      </c>
      <c r="AX63" s="12">
        <v>0</v>
      </c>
      <c r="AY63" s="18">
        <v>0</v>
      </c>
      <c r="AZ63" s="18">
        <v>0</v>
      </c>
      <c r="BA63" s="17">
        <v>0</v>
      </c>
      <c r="BE63" s="17"/>
      <c r="BI63" s="16"/>
      <c r="BJ63" s="16"/>
    </row>
    <row r="64" spans="1:64" ht="15.75" customHeight="1" x14ac:dyDescent="0.15">
      <c r="A64" s="12">
        <v>1026</v>
      </c>
      <c r="B64" s="13">
        <v>45739</v>
      </c>
      <c r="C64" s="14">
        <v>0.78995370370370366</v>
      </c>
      <c r="D64" s="14"/>
      <c r="E64" s="15"/>
      <c r="F64" s="16"/>
      <c r="G64" s="12"/>
      <c r="H64" s="55" t="s">
        <v>133</v>
      </c>
      <c r="I64" s="12"/>
      <c r="J64" s="12"/>
      <c r="M64" s="12"/>
      <c r="N64" s="12"/>
      <c r="O64" s="16"/>
      <c r="V64" s="16"/>
      <c r="W64" s="12"/>
      <c r="X64" s="12"/>
      <c r="AC64" s="16"/>
      <c r="AE64" s="12"/>
      <c r="AK64" s="16"/>
      <c r="AO64" s="16"/>
      <c r="AW64" s="16"/>
      <c r="BA64" s="17"/>
      <c r="BE64" s="17"/>
      <c r="BI64" s="16"/>
      <c r="BJ64" s="16"/>
    </row>
    <row r="65" spans="1:64" ht="15.75" customHeight="1" x14ac:dyDescent="0.15">
      <c r="A65" s="12">
        <v>1027</v>
      </c>
      <c r="B65" s="13">
        <v>45739</v>
      </c>
      <c r="C65" s="14">
        <v>0.79721064814814813</v>
      </c>
      <c r="D65" s="14"/>
      <c r="E65" s="15"/>
      <c r="F65" s="16"/>
      <c r="G65" s="12"/>
      <c r="H65" s="55" t="s">
        <v>133</v>
      </c>
      <c r="I65" s="12"/>
      <c r="J65" s="12"/>
      <c r="M65" s="12"/>
      <c r="N65" s="12"/>
      <c r="O65" s="16"/>
      <c r="V65" s="16"/>
      <c r="W65" s="12"/>
      <c r="X65" s="12"/>
      <c r="AC65" s="16"/>
      <c r="AE65" s="12"/>
      <c r="AK65" s="16"/>
      <c r="AO65" s="16"/>
      <c r="AW65" s="16"/>
      <c r="BA65" s="17"/>
      <c r="BE65" s="17"/>
      <c r="BI65" s="16"/>
      <c r="BJ65" s="16"/>
    </row>
    <row r="66" spans="1:64" s="67" customFormat="1" ht="15.75" customHeight="1" x14ac:dyDescent="0.15">
      <c r="A66" s="67">
        <v>1028</v>
      </c>
      <c r="B66" s="68">
        <v>45739</v>
      </c>
      <c r="C66" s="69">
        <v>0.8034027777777778</v>
      </c>
      <c r="D66" s="69">
        <v>0.92812499999999998</v>
      </c>
      <c r="E66" s="70"/>
      <c r="F66" s="71" t="s">
        <v>83</v>
      </c>
      <c r="G66" s="67" t="s">
        <v>140</v>
      </c>
      <c r="H66" s="71"/>
      <c r="I66" s="67" t="s">
        <v>96</v>
      </c>
      <c r="J66" s="67" t="s">
        <v>82</v>
      </c>
      <c r="K66" s="67">
        <v>50</v>
      </c>
      <c r="L66" s="67">
        <v>200</v>
      </c>
      <c r="M66" s="67" t="s">
        <v>77</v>
      </c>
      <c r="O66" s="71"/>
      <c r="V66" s="71"/>
      <c r="W66" s="67">
        <v>46.26</v>
      </c>
      <c r="X66" s="67" t="s">
        <v>85</v>
      </c>
      <c r="Y66" s="67">
        <v>925.40700000000004</v>
      </c>
      <c r="Z66" s="67">
        <v>90.873999999999995</v>
      </c>
      <c r="AB66" s="67">
        <v>5800</v>
      </c>
      <c r="AC66" s="71">
        <v>300</v>
      </c>
      <c r="AE66" s="67" t="s">
        <v>85</v>
      </c>
      <c r="AF66" s="67">
        <v>-654.92999999999995</v>
      </c>
      <c r="AG66" s="67">
        <v>223.82640000000001</v>
      </c>
      <c r="AJ66" s="67">
        <v>4500</v>
      </c>
      <c r="AK66" s="71">
        <v>300</v>
      </c>
      <c r="AL66" s="67">
        <v>2500</v>
      </c>
      <c r="AM66" s="67">
        <v>2700</v>
      </c>
      <c r="AN66" s="67">
        <v>1800</v>
      </c>
      <c r="AO66" s="71">
        <v>1800</v>
      </c>
      <c r="AP66" s="67">
        <v>2500</v>
      </c>
      <c r="AQ66" s="67">
        <v>2500</v>
      </c>
      <c r="AR66" s="67">
        <v>3000</v>
      </c>
      <c r="AS66" s="67">
        <v>3000</v>
      </c>
      <c r="AT66" s="67">
        <v>3000</v>
      </c>
      <c r="AU66" s="67">
        <v>3000</v>
      </c>
      <c r="AV66" s="67">
        <v>3000</v>
      </c>
      <c r="AW66" s="67">
        <v>3000</v>
      </c>
      <c r="AX66" s="67">
        <v>0</v>
      </c>
      <c r="AY66" s="67">
        <v>0</v>
      </c>
      <c r="AZ66" s="67">
        <v>0</v>
      </c>
      <c r="BA66" s="72">
        <v>0</v>
      </c>
      <c r="BE66" s="72"/>
      <c r="BI66" s="71"/>
      <c r="BJ66" s="71"/>
    </row>
    <row r="67" spans="1:64" ht="15.75" customHeight="1" x14ac:dyDescent="0.15">
      <c r="A67" s="35" t="s">
        <v>141</v>
      </c>
      <c r="B67" s="36"/>
      <c r="C67" s="37"/>
      <c r="D67" s="37"/>
      <c r="E67" s="38"/>
      <c r="F67" s="39"/>
      <c r="G67" s="35"/>
      <c r="H67" s="39"/>
      <c r="I67" s="35"/>
      <c r="J67" s="35"/>
      <c r="K67" s="40"/>
      <c r="L67" s="40"/>
      <c r="M67" s="35"/>
      <c r="N67" s="35"/>
      <c r="O67" s="39"/>
      <c r="P67" s="40"/>
      <c r="Q67" s="40"/>
      <c r="R67" s="40"/>
      <c r="S67" s="40"/>
      <c r="T67" s="40"/>
      <c r="U67" s="40"/>
      <c r="V67" s="39"/>
      <c r="W67" s="35"/>
      <c r="X67" s="35"/>
      <c r="Y67" s="40"/>
      <c r="Z67" s="40"/>
      <c r="AA67" s="40"/>
      <c r="AB67" s="40"/>
      <c r="AC67" s="39"/>
      <c r="AD67" s="40"/>
      <c r="AE67" s="35"/>
      <c r="AF67" s="40"/>
      <c r="AG67" s="40"/>
      <c r="AH67" s="40"/>
      <c r="AI67" s="40"/>
      <c r="AJ67" s="40"/>
      <c r="AK67" s="39"/>
      <c r="AL67" s="40"/>
      <c r="AM67" s="40"/>
      <c r="AN67" s="40"/>
      <c r="AO67" s="39"/>
      <c r="AP67" s="40"/>
      <c r="AQ67" s="40"/>
      <c r="AR67" s="40"/>
      <c r="AS67" s="40"/>
      <c r="AT67" s="40"/>
      <c r="AU67" s="40"/>
      <c r="AV67" s="40"/>
      <c r="AW67" s="39"/>
      <c r="AX67" s="40"/>
      <c r="AY67" s="40"/>
      <c r="AZ67" s="40"/>
      <c r="BA67" s="41"/>
      <c r="BB67" s="40"/>
      <c r="BC67" s="40"/>
      <c r="BD67" s="40"/>
      <c r="BE67" s="41"/>
      <c r="BF67" s="40"/>
      <c r="BG67" s="40"/>
      <c r="BH67" s="40"/>
      <c r="BI67" s="39"/>
      <c r="BJ67" s="39"/>
      <c r="BK67" s="40"/>
      <c r="BL67" s="40"/>
    </row>
    <row r="68" spans="1:64" ht="15.75" customHeight="1" x14ac:dyDescent="0.15">
      <c r="A68" s="12">
        <v>2000</v>
      </c>
      <c r="B68" s="13">
        <v>45747</v>
      </c>
      <c r="C68" s="14">
        <v>0.80090277777777774</v>
      </c>
      <c r="D68" s="14">
        <v>0.80486111111111114</v>
      </c>
      <c r="E68" s="15">
        <f t="shared" ref="E68:E133" si="2">D68-C68</f>
        <v>3.958333333333397E-3</v>
      </c>
      <c r="F68" s="16" t="s">
        <v>83</v>
      </c>
      <c r="G68" s="12" t="s">
        <v>142</v>
      </c>
      <c r="H68" s="55" t="s">
        <v>133</v>
      </c>
      <c r="I68" s="12" t="s">
        <v>137</v>
      </c>
      <c r="J68" s="12" t="s">
        <v>82</v>
      </c>
      <c r="K68" s="18">
        <v>3</v>
      </c>
      <c r="L68" s="18">
        <v>200</v>
      </c>
      <c r="M68" s="12" t="s">
        <v>89</v>
      </c>
      <c r="N68" s="12"/>
      <c r="O68" s="16"/>
      <c r="V68" s="16"/>
      <c r="W68" s="12">
        <v>28</v>
      </c>
      <c r="X68" s="12" t="s">
        <v>76</v>
      </c>
      <c r="Y68" s="18">
        <v>1047.673</v>
      </c>
      <c r="Z68" s="18">
        <v>102.881</v>
      </c>
      <c r="AC68" s="16"/>
      <c r="AE68" s="12"/>
      <c r="AK68" s="16"/>
      <c r="AO68" s="16"/>
      <c r="AW68" s="16"/>
      <c r="BA68" s="17"/>
      <c r="BE68" s="17"/>
      <c r="BI68" s="16"/>
      <c r="BJ68" s="16"/>
    </row>
    <row r="69" spans="1:64" ht="15.75" customHeight="1" x14ac:dyDescent="0.15">
      <c r="A69" s="12">
        <v>2001</v>
      </c>
      <c r="B69" s="13">
        <v>45747</v>
      </c>
      <c r="C69" s="14">
        <v>0.80660879629629634</v>
      </c>
      <c r="D69" s="14">
        <v>0.8256944444444444</v>
      </c>
      <c r="E69" s="15">
        <f t="shared" si="2"/>
        <v>1.908564814814806E-2</v>
      </c>
      <c r="F69" s="16" t="s">
        <v>83</v>
      </c>
      <c r="G69" s="12" t="s">
        <v>143</v>
      </c>
      <c r="H69" s="16"/>
      <c r="I69" s="12" t="s">
        <v>137</v>
      </c>
      <c r="J69" s="12" t="s">
        <v>82</v>
      </c>
      <c r="K69" s="18">
        <v>3</v>
      </c>
      <c r="L69" s="18">
        <v>200</v>
      </c>
      <c r="M69" s="12" t="s">
        <v>89</v>
      </c>
      <c r="N69" s="12"/>
      <c r="O69" s="16"/>
      <c r="V69" s="16"/>
      <c r="W69" s="12">
        <v>28</v>
      </c>
      <c r="X69" s="12" t="s">
        <v>76</v>
      </c>
      <c r="Y69" s="18">
        <v>1047.673</v>
      </c>
      <c r="Z69" s="18">
        <v>102.881</v>
      </c>
      <c r="AB69" s="18">
        <v>5800</v>
      </c>
      <c r="AC69" s="16">
        <v>300</v>
      </c>
      <c r="AE69" s="12" t="s">
        <v>85</v>
      </c>
      <c r="AF69" s="18">
        <v>0</v>
      </c>
      <c r="AG69" s="18">
        <v>0</v>
      </c>
      <c r="AK69" s="16"/>
      <c r="AO69" s="16"/>
      <c r="AW69" s="16"/>
      <c r="BA69" s="17"/>
      <c r="BE69" s="17"/>
      <c r="BI69" s="16"/>
      <c r="BJ69" s="16"/>
    </row>
    <row r="70" spans="1:64" ht="15.75" customHeight="1" x14ac:dyDescent="0.15">
      <c r="A70" s="12">
        <v>2002</v>
      </c>
      <c r="B70" s="13">
        <v>45747</v>
      </c>
      <c r="C70" s="14">
        <v>0.82604166666666667</v>
      </c>
      <c r="D70" s="14">
        <v>0.84215277777777775</v>
      </c>
      <c r="E70" s="15">
        <f t="shared" si="2"/>
        <v>1.6111111111111076E-2</v>
      </c>
      <c r="F70" s="16" t="s">
        <v>83</v>
      </c>
      <c r="G70" s="12" t="s">
        <v>144</v>
      </c>
      <c r="H70" s="16"/>
      <c r="I70" s="12" t="s">
        <v>137</v>
      </c>
      <c r="J70" s="12" t="s">
        <v>82</v>
      </c>
      <c r="K70" s="18">
        <v>3</v>
      </c>
      <c r="L70" s="18">
        <v>200</v>
      </c>
      <c r="M70" s="12" t="s">
        <v>89</v>
      </c>
      <c r="N70" s="12"/>
      <c r="O70" s="16"/>
      <c r="V70" s="16"/>
      <c r="W70" s="12">
        <v>28</v>
      </c>
      <c r="X70" s="12" t="s">
        <v>76</v>
      </c>
      <c r="Y70" s="18">
        <v>1047.673</v>
      </c>
      <c r="Z70" s="18">
        <v>102.881</v>
      </c>
      <c r="AB70" s="18">
        <v>5800</v>
      </c>
      <c r="AC70" s="16">
        <v>300</v>
      </c>
      <c r="AE70" s="12" t="s">
        <v>85</v>
      </c>
      <c r="AF70" s="18">
        <v>0</v>
      </c>
      <c r="AG70" s="18">
        <v>0</v>
      </c>
      <c r="AK70" s="16"/>
      <c r="AO70" s="16"/>
      <c r="AW70" s="16"/>
      <c r="BA70" s="17"/>
      <c r="BE70" s="17"/>
      <c r="BI70" s="16"/>
      <c r="BJ70" s="16"/>
    </row>
    <row r="71" spans="1:64" ht="15.75" customHeight="1" x14ac:dyDescent="0.15">
      <c r="A71" s="12">
        <v>2003</v>
      </c>
      <c r="B71" s="13">
        <v>45747</v>
      </c>
      <c r="C71" s="14">
        <v>0.84318287037037032</v>
      </c>
      <c r="D71" s="14">
        <v>0.85575231481481484</v>
      </c>
      <c r="E71" s="15">
        <f t="shared" si="2"/>
        <v>1.2569444444444522E-2</v>
      </c>
      <c r="F71" s="16" t="s">
        <v>83</v>
      </c>
      <c r="G71" s="12" t="s">
        <v>145</v>
      </c>
      <c r="H71" s="16"/>
      <c r="I71" s="12" t="s">
        <v>137</v>
      </c>
      <c r="J71" s="12" t="s">
        <v>82</v>
      </c>
      <c r="K71" s="18">
        <v>3</v>
      </c>
      <c r="L71" s="18">
        <v>200</v>
      </c>
      <c r="M71" s="12" t="s">
        <v>89</v>
      </c>
      <c r="N71" s="12"/>
      <c r="O71" s="16"/>
      <c r="V71" s="16"/>
      <c r="W71" s="12">
        <v>28</v>
      </c>
      <c r="X71" s="12" t="s">
        <v>76</v>
      </c>
      <c r="Y71" s="18">
        <v>1047.673</v>
      </c>
      <c r="Z71" s="18">
        <v>102.881</v>
      </c>
      <c r="AB71" s="18">
        <v>5800</v>
      </c>
      <c r="AC71" s="16">
        <v>300</v>
      </c>
      <c r="AE71" s="12" t="s">
        <v>85</v>
      </c>
      <c r="AF71" s="18">
        <v>0</v>
      </c>
      <c r="AG71" s="18">
        <v>0</v>
      </c>
      <c r="AK71" s="16"/>
      <c r="AO71" s="16"/>
      <c r="AW71" s="16"/>
      <c r="BA71" s="17"/>
      <c r="BE71" s="17"/>
      <c r="BI71" s="16"/>
      <c r="BJ71" s="16"/>
    </row>
    <row r="72" spans="1:64" ht="15.75" customHeight="1" x14ac:dyDescent="0.15">
      <c r="A72" s="12">
        <v>2004</v>
      </c>
      <c r="B72" s="13">
        <v>45747</v>
      </c>
      <c r="C72" s="14">
        <v>0.8568055555555556</v>
      </c>
      <c r="D72" s="14">
        <v>0.86359953703703707</v>
      </c>
      <c r="E72" s="15">
        <f t="shared" si="2"/>
        <v>6.7939814814814703E-3</v>
      </c>
      <c r="F72" s="16" t="s">
        <v>83</v>
      </c>
      <c r="G72" s="12" t="s">
        <v>146</v>
      </c>
      <c r="H72" s="16"/>
      <c r="I72" s="12" t="s">
        <v>137</v>
      </c>
      <c r="J72" s="12" t="s">
        <v>82</v>
      </c>
      <c r="K72" s="18">
        <v>3</v>
      </c>
      <c r="L72" s="18">
        <v>200</v>
      </c>
      <c r="M72" s="12" t="s">
        <v>89</v>
      </c>
      <c r="N72" s="12"/>
      <c r="O72" s="16"/>
      <c r="V72" s="16"/>
      <c r="W72" s="12">
        <v>28</v>
      </c>
      <c r="X72" s="12" t="s">
        <v>76</v>
      </c>
      <c r="Y72" s="18">
        <v>1047.673</v>
      </c>
      <c r="Z72" s="18">
        <v>102.881</v>
      </c>
      <c r="AB72" s="18">
        <v>5800</v>
      </c>
      <c r="AC72" s="16">
        <v>300</v>
      </c>
      <c r="AE72" s="12" t="s">
        <v>85</v>
      </c>
      <c r="AF72" s="18">
        <v>0</v>
      </c>
      <c r="AG72" s="18">
        <v>0</v>
      </c>
      <c r="AK72" s="16"/>
      <c r="AO72" s="16"/>
      <c r="AW72" s="16"/>
      <c r="BA72" s="17"/>
      <c r="BE72" s="17"/>
      <c r="BI72" s="16"/>
      <c r="BJ72" s="16"/>
    </row>
    <row r="73" spans="1:64" s="67" customFormat="1" ht="15.75" customHeight="1" x14ac:dyDescent="0.15">
      <c r="A73" s="67">
        <v>2005</v>
      </c>
      <c r="B73" s="68">
        <v>45747</v>
      </c>
      <c r="C73" s="69">
        <v>0.86862268518518515</v>
      </c>
      <c r="D73" s="69">
        <v>0.87905092592592593</v>
      </c>
      <c r="E73" s="70">
        <f t="shared" si="2"/>
        <v>1.042824074074078E-2</v>
      </c>
      <c r="F73" s="71" t="s">
        <v>83</v>
      </c>
      <c r="G73" s="67" t="s">
        <v>147</v>
      </c>
      <c r="H73" s="71"/>
      <c r="I73" s="67" t="s">
        <v>137</v>
      </c>
      <c r="J73" s="67" t="s">
        <v>82</v>
      </c>
      <c r="K73" s="67">
        <v>70</v>
      </c>
      <c r="L73" s="67">
        <v>200</v>
      </c>
      <c r="M73" s="67" t="s">
        <v>89</v>
      </c>
      <c r="O73" s="71"/>
      <c r="V73" s="71"/>
      <c r="W73" s="67">
        <v>28</v>
      </c>
      <c r="X73" s="67" t="s">
        <v>76</v>
      </c>
      <c r="Y73" s="67">
        <v>1047.673</v>
      </c>
      <c r="Z73" s="67">
        <v>102.881</v>
      </c>
      <c r="AB73" s="67">
        <v>5800</v>
      </c>
      <c r="AC73" s="71">
        <v>300</v>
      </c>
      <c r="AE73" s="67" t="s">
        <v>85</v>
      </c>
      <c r="AF73" s="67">
        <v>0</v>
      </c>
      <c r="AG73" s="67">
        <v>0</v>
      </c>
      <c r="AJ73" s="67">
        <v>0</v>
      </c>
      <c r="AK73" s="71">
        <v>0</v>
      </c>
      <c r="AL73" s="67">
        <v>2500</v>
      </c>
      <c r="AM73" s="67">
        <v>2700</v>
      </c>
      <c r="AN73" s="67">
        <v>1800</v>
      </c>
      <c r="AO73" s="71">
        <v>1800</v>
      </c>
      <c r="AP73" s="67">
        <v>2500</v>
      </c>
      <c r="AQ73" s="67">
        <v>2500</v>
      </c>
      <c r="AR73" s="67">
        <v>3000</v>
      </c>
      <c r="AS73" s="67">
        <v>3000</v>
      </c>
      <c r="AT73" s="67">
        <v>3000</v>
      </c>
      <c r="AU73" s="67">
        <v>3000</v>
      </c>
      <c r="AV73" s="67">
        <v>3000</v>
      </c>
      <c r="AW73" s="71">
        <v>3000</v>
      </c>
      <c r="BA73" s="72"/>
      <c r="BE73" s="72"/>
      <c r="BI73" s="71"/>
      <c r="BJ73" s="71"/>
    </row>
    <row r="74" spans="1:64" s="67" customFormat="1" ht="15.75" customHeight="1" x14ac:dyDescent="0.15">
      <c r="A74" s="67">
        <v>2006</v>
      </c>
      <c r="B74" s="68">
        <v>45747</v>
      </c>
      <c r="C74" s="69">
        <v>0.94574074074074077</v>
      </c>
      <c r="D74" s="69">
        <v>0.95636574074074077</v>
      </c>
      <c r="E74" s="70">
        <f t="shared" si="2"/>
        <v>1.0624999999999996E-2</v>
      </c>
      <c r="F74" s="71" t="s">
        <v>83</v>
      </c>
      <c r="G74" s="67" t="s">
        <v>148</v>
      </c>
      <c r="H74" s="71" t="s">
        <v>149</v>
      </c>
      <c r="I74" s="67" t="s">
        <v>137</v>
      </c>
      <c r="J74" s="67" t="s">
        <v>82</v>
      </c>
      <c r="K74" s="67">
        <v>90</v>
      </c>
      <c r="L74" s="67">
        <v>200</v>
      </c>
      <c r="M74" s="67" t="s">
        <v>89</v>
      </c>
      <c r="O74" s="71"/>
      <c r="V74" s="71"/>
      <c r="W74" s="67">
        <v>28</v>
      </c>
      <c r="X74" s="67" t="s">
        <v>76</v>
      </c>
      <c r="Y74" s="67">
        <v>1058.1500000000001</v>
      </c>
      <c r="Z74" s="67">
        <v>103.90900000000001</v>
      </c>
      <c r="AB74" s="67">
        <v>5800</v>
      </c>
      <c r="AC74" s="71">
        <v>300</v>
      </c>
      <c r="AE74" s="67" t="s">
        <v>85</v>
      </c>
      <c r="AF74" s="67">
        <v>0</v>
      </c>
      <c r="AG74" s="67">
        <v>0</v>
      </c>
      <c r="AJ74" s="67">
        <v>0</v>
      </c>
      <c r="AK74" s="71">
        <v>0</v>
      </c>
      <c r="AL74" s="67">
        <v>2500</v>
      </c>
      <c r="AM74" s="67">
        <v>2700</v>
      </c>
      <c r="AN74" s="67">
        <v>1800</v>
      </c>
      <c r="AO74" s="71">
        <v>1800</v>
      </c>
      <c r="AP74" s="67">
        <v>2500</v>
      </c>
      <c r="AQ74" s="67">
        <v>2500</v>
      </c>
      <c r="AR74" s="67">
        <v>3000</v>
      </c>
      <c r="AS74" s="67">
        <v>3000</v>
      </c>
      <c r="AT74" s="67">
        <v>3000</v>
      </c>
      <c r="AU74" s="67">
        <v>3000</v>
      </c>
      <c r="AV74" s="67">
        <v>3000</v>
      </c>
      <c r="AW74" s="71">
        <v>3000</v>
      </c>
      <c r="BA74" s="72"/>
      <c r="BE74" s="72"/>
      <c r="BI74" s="71"/>
      <c r="BJ74" s="71"/>
    </row>
    <row r="75" spans="1:64" s="67" customFormat="1" ht="15.75" customHeight="1" x14ac:dyDescent="0.15">
      <c r="A75" s="67">
        <v>2007</v>
      </c>
      <c r="B75" s="68">
        <v>45747</v>
      </c>
      <c r="C75" s="69">
        <v>0.96130787037037035</v>
      </c>
      <c r="D75" s="69">
        <v>0.97179398148148144</v>
      </c>
      <c r="E75" s="70">
        <f t="shared" si="2"/>
        <v>1.0486111111111085E-2</v>
      </c>
      <c r="F75" s="71" t="s">
        <v>83</v>
      </c>
      <c r="G75" s="67" t="s">
        <v>150</v>
      </c>
      <c r="H75" s="71"/>
      <c r="I75" s="67" t="s">
        <v>137</v>
      </c>
      <c r="J75" s="67" t="s">
        <v>82</v>
      </c>
      <c r="K75" s="67">
        <v>90</v>
      </c>
      <c r="L75" s="67">
        <v>200</v>
      </c>
      <c r="M75" s="67" t="s">
        <v>89</v>
      </c>
      <c r="O75" s="71"/>
      <c r="V75" s="71"/>
      <c r="W75" s="67">
        <v>28</v>
      </c>
      <c r="X75" s="67" t="s">
        <v>76</v>
      </c>
      <c r="Y75" s="67">
        <v>1021.481</v>
      </c>
      <c r="Z75" s="67">
        <v>100.309</v>
      </c>
      <c r="AB75" s="67">
        <v>5800</v>
      </c>
      <c r="AC75" s="71">
        <v>300</v>
      </c>
      <c r="AE75" s="67" t="s">
        <v>85</v>
      </c>
      <c r="AF75" s="67">
        <v>0</v>
      </c>
      <c r="AG75" s="67">
        <v>0</v>
      </c>
      <c r="AJ75" s="67">
        <v>0</v>
      </c>
      <c r="AK75" s="71">
        <v>0</v>
      </c>
      <c r="AL75" s="67">
        <v>2500</v>
      </c>
      <c r="AM75" s="67">
        <v>2700</v>
      </c>
      <c r="AN75" s="67">
        <v>1800</v>
      </c>
      <c r="AO75" s="71">
        <v>1800</v>
      </c>
      <c r="AP75" s="67">
        <v>2500</v>
      </c>
      <c r="AQ75" s="67">
        <v>2500</v>
      </c>
      <c r="AR75" s="67">
        <v>3000</v>
      </c>
      <c r="AS75" s="67">
        <v>3000</v>
      </c>
      <c r="AT75" s="67">
        <v>3000</v>
      </c>
      <c r="AU75" s="67">
        <v>3000</v>
      </c>
      <c r="AV75" s="67">
        <v>3000</v>
      </c>
      <c r="AW75" s="71">
        <v>3000</v>
      </c>
      <c r="BA75" s="72"/>
      <c r="BE75" s="72"/>
      <c r="BI75" s="71"/>
      <c r="BJ75" s="71"/>
    </row>
    <row r="76" spans="1:64" s="67" customFormat="1" ht="15" customHeight="1" x14ac:dyDescent="0.15">
      <c r="A76" s="67">
        <v>2008</v>
      </c>
      <c r="B76" s="68">
        <v>45747</v>
      </c>
      <c r="C76" s="69">
        <v>0.97528935185185184</v>
      </c>
      <c r="D76" s="69">
        <v>0.98571759259259262</v>
      </c>
      <c r="E76" s="70">
        <f t="shared" si="2"/>
        <v>1.042824074074078E-2</v>
      </c>
      <c r="F76" s="71" t="s">
        <v>83</v>
      </c>
      <c r="G76" s="67" t="s">
        <v>151</v>
      </c>
      <c r="I76" s="67" t="s">
        <v>137</v>
      </c>
      <c r="J76" s="67" t="s">
        <v>82</v>
      </c>
      <c r="K76" s="67">
        <v>90</v>
      </c>
      <c r="L76" s="67">
        <v>200</v>
      </c>
      <c r="M76" s="67" t="s">
        <v>89</v>
      </c>
      <c r="O76" s="71"/>
      <c r="V76" s="71"/>
      <c r="W76" s="67">
        <v>28</v>
      </c>
      <c r="X76" s="67" t="s">
        <v>76</v>
      </c>
      <c r="Y76" s="67">
        <v>1031.9580000000001</v>
      </c>
      <c r="Z76" s="67">
        <v>101.337</v>
      </c>
      <c r="AB76" s="67">
        <v>5800</v>
      </c>
      <c r="AC76" s="71">
        <v>300</v>
      </c>
      <c r="AE76" s="67" t="s">
        <v>85</v>
      </c>
      <c r="AF76" s="67">
        <v>0</v>
      </c>
      <c r="AG76" s="67">
        <v>0</v>
      </c>
      <c r="AJ76" s="67">
        <v>0</v>
      </c>
      <c r="AK76" s="71">
        <v>0</v>
      </c>
      <c r="AL76" s="67">
        <v>2500</v>
      </c>
      <c r="AM76" s="67">
        <v>2700</v>
      </c>
      <c r="AN76" s="67">
        <v>1800</v>
      </c>
      <c r="AO76" s="71">
        <v>1800</v>
      </c>
      <c r="AP76" s="67">
        <v>2500</v>
      </c>
      <c r="AQ76" s="67">
        <v>2500</v>
      </c>
      <c r="AR76" s="67">
        <v>3000</v>
      </c>
      <c r="AS76" s="67">
        <v>3000</v>
      </c>
      <c r="AT76" s="67">
        <v>3000</v>
      </c>
      <c r="AU76" s="67">
        <v>3000</v>
      </c>
      <c r="AV76" s="67">
        <v>3000</v>
      </c>
      <c r="AW76" s="71">
        <v>3000</v>
      </c>
      <c r="BA76" s="72"/>
      <c r="BE76" s="72"/>
      <c r="BI76" s="71"/>
      <c r="BJ76" s="71"/>
    </row>
    <row r="77" spans="1:64" s="67" customFormat="1" ht="13.5" customHeight="1" x14ac:dyDescent="0.15">
      <c r="A77" s="67">
        <v>2009</v>
      </c>
      <c r="B77" s="68">
        <v>45747</v>
      </c>
      <c r="C77" s="69">
        <v>0.98837962962962966</v>
      </c>
      <c r="D77" s="69">
        <v>0.99905092592592593</v>
      </c>
      <c r="E77" s="70">
        <f t="shared" si="2"/>
        <v>1.0671296296296262E-2</v>
      </c>
      <c r="F77" s="71" t="s">
        <v>83</v>
      </c>
      <c r="G77" s="67" t="s">
        <v>152</v>
      </c>
      <c r="H77" s="71"/>
      <c r="I77" s="67" t="s">
        <v>137</v>
      </c>
      <c r="J77" s="67" t="s">
        <v>82</v>
      </c>
      <c r="K77" s="67">
        <v>90</v>
      </c>
      <c r="L77" s="67">
        <v>200</v>
      </c>
      <c r="M77" s="67" t="s">
        <v>89</v>
      </c>
      <c r="O77" s="71"/>
      <c r="V77" s="71"/>
      <c r="W77" s="67">
        <v>28</v>
      </c>
      <c r="X77" s="67" t="s">
        <v>76</v>
      </c>
      <c r="Y77" s="67">
        <v>1037.1959999999999</v>
      </c>
      <c r="Z77" s="67">
        <v>101.851</v>
      </c>
      <c r="AB77" s="67">
        <v>5800</v>
      </c>
      <c r="AC77" s="71">
        <v>300</v>
      </c>
      <c r="AE77" s="67" t="s">
        <v>85</v>
      </c>
      <c r="AF77" s="67">
        <v>0</v>
      </c>
      <c r="AG77" s="67">
        <v>0</v>
      </c>
      <c r="AJ77" s="67">
        <v>0</v>
      </c>
      <c r="AK77" s="71">
        <v>0</v>
      </c>
      <c r="AL77" s="67">
        <v>2500</v>
      </c>
      <c r="AM77" s="67">
        <v>2700</v>
      </c>
      <c r="AN77" s="67">
        <v>1800</v>
      </c>
      <c r="AO77" s="71">
        <v>1800</v>
      </c>
      <c r="AP77" s="67">
        <v>2500</v>
      </c>
      <c r="AQ77" s="67">
        <v>2500</v>
      </c>
      <c r="AR77" s="67">
        <v>3000</v>
      </c>
      <c r="AS77" s="67">
        <v>3000</v>
      </c>
      <c r="AT77" s="67">
        <v>3000</v>
      </c>
      <c r="AU77" s="67">
        <v>3000</v>
      </c>
      <c r="AV77" s="67">
        <v>3000</v>
      </c>
      <c r="AW77" s="71">
        <v>3000</v>
      </c>
      <c r="BA77" s="72"/>
      <c r="BE77" s="72"/>
      <c r="BI77" s="71"/>
      <c r="BJ77" s="71"/>
    </row>
    <row r="78" spans="1:64" ht="13.5" customHeight="1" x14ac:dyDescent="0.15">
      <c r="A78" s="12">
        <v>2010</v>
      </c>
      <c r="B78" s="13">
        <v>45748</v>
      </c>
      <c r="C78" s="14">
        <v>7.4999999999999997E-3</v>
      </c>
      <c r="D78" s="14">
        <v>1.3460648148148149E-2</v>
      </c>
      <c r="E78" s="15">
        <f t="shared" si="2"/>
        <v>5.9606481481481489E-3</v>
      </c>
      <c r="F78" s="16" t="s">
        <v>83</v>
      </c>
      <c r="G78" s="12" t="s">
        <v>153</v>
      </c>
      <c r="H78" s="16" t="s">
        <v>154</v>
      </c>
      <c r="I78" s="12" t="s">
        <v>137</v>
      </c>
      <c r="J78" s="12" t="s">
        <v>82</v>
      </c>
      <c r="K78" s="18">
        <v>90</v>
      </c>
      <c r="L78" s="18">
        <v>200</v>
      </c>
      <c r="M78" s="12" t="s">
        <v>89</v>
      </c>
      <c r="N78" s="12"/>
      <c r="O78" s="16"/>
      <c r="P78" s="12"/>
      <c r="Q78" s="12"/>
      <c r="R78" s="12"/>
      <c r="S78" s="12"/>
      <c r="T78" s="12"/>
      <c r="U78" s="12"/>
      <c r="V78" s="16"/>
      <c r="W78" s="12">
        <v>28</v>
      </c>
      <c r="X78" s="12" t="s">
        <v>76</v>
      </c>
      <c r="Y78" s="18">
        <v>1037.1959999999999</v>
      </c>
      <c r="Z78" s="18">
        <v>101.851</v>
      </c>
      <c r="AB78" s="18">
        <v>5800</v>
      </c>
      <c r="AC78" s="16">
        <v>300</v>
      </c>
      <c r="AE78" s="12" t="s">
        <v>85</v>
      </c>
      <c r="AF78" s="18">
        <v>0</v>
      </c>
      <c r="AG78" s="18">
        <v>0</v>
      </c>
      <c r="AH78" s="12"/>
      <c r="AI78" s="12"/>
      <c r="AJ78" s="18">
        <v>0</v>
      </c>
      <c r="AK78" s="16">
        <v>0</v>
      </c>
      <c r="AL78" s="18">
        <v>2500</v>
      </c>
      <c r="AM78" s="18">
        <v>2700</v>
      </c>
      <c r="AN78" s="18">
        <v>1800</v>
      </c>
      <c r="AO78" s="16">
        <v>1800</v>
      </c>
      <c r="AP78" s="18">
        <v>2500</v>
      </c>
      <c r="AQ78" s="18">
        <v>2500</v>
      </c>
      <c r="AR78" s="18">
        <v>3000</v>
      </c>
      <c r="AS78" s="18">
        <v>3000</v>
      </c>
      <c r="AT78" s="18">
        <v>3000</v>
      </c>
      <c r="AU78" s="18">
        <v>3000</v>
      </c>
      <c r="AV78" s="18">
        <v>3000</v>
      </c>
      <c r="AW78" s="16">
        <v>3000</v>
      </c>
      <c r="AX78" s="12"/>
      <c r="AY78" s="12"/>
      <c r="AZ78" s="12"/>
      <c r="BA78" s="17"/>
      <c r="BB78" s="12"/>
      <c r="BC78" s="12"/>
      <c r="BD78" s="12"/>
      <c r="BE78" s="17"/>
      <c r="BF78" s="12"/>
      <c r="BG78" s="12"/>
      <c r="BH78" s="12"/>
      <c r="BI78" s="16"/>
      <c r="BJ78" s="16"/>
      <c r="BK78" s="12"/>
      <c r="BL78" s="12"/>
    </row>
    <row r="79" spans="1:64" ht="15.75" customHeight="1" x14ac:dyDescent="0.15">
      <c r="A79" s="12">
        <v>2011</v>
      </c>
      <c r="B79" s="13">
        <v>45748</v>
      </c>
      <c r="C79" s="26">
        <v>1.545138888888889E-2</v>
      </c>
      <c r="D79" s="26">
        <v>2.0474537037037038E-2</v>
      </c>
      <c r="E79" s="32">
        <f t="shared" si="2"/>
        <v>5.0231481481481481E-3</v>
      </c>
      <c r="F79" s="27" t="s">
        <v>83</v>
      </c>
      <c r="G79" s="12" t="s">
        <v>153</v>
      </c>
      <c r="H79" s="28"/>
      <c r="I79" s="12" t="s">
        <v>137</v>
      </c>
      <c r="J79" s="12" t="s">
        <v>82</v>
      </c>
      <c r="K79" s="18">
        <v>90</v>
      </c>
      <c r="L79" s="18">
        <v>200</v>
      </c>
      <c r="M79" s="12" t="s">
        <v>155</v>
      </c>
      <c r="N79" s="23"/>
      <c r="O79" s="28"/>
      <c r="P79" s="23"/>
      <c r="Q79" s="23"/>
      <c r="R79" s="23"/>
      <c r="S79" s="23"/>
      <c r="T79" s="23"/>
      <c r="U79" s="23"/>
      <c r="V79" s="28"/>
      <c r="W79" s="12">
        <v>28</v>
      </c>
      <c r="X79" s="12" t="s">
        <v>76</v>
      </c>
      <c r="Y79" s="18">
        <v>1037.1959999999999</v>
      </c>
      <c r="Z79" s="18">
        <v>101.851</v>
      </c>
      <c r="AB79" s="18">
        <v>5800</v>
      </c>
      <c r="AC79" s="16">
        <v>300</v>
      </c>
      <c r="AE79" s="12" t="s">
        <v>85</v>
      </c>
      <c r="AF79" s="18">
        <v>0</v>
      </c>
      <c r="AG79" s="18">
        <v>0</v>
      </c>
      <c r="AH79" s="23"/>
      <c r="AI79" s="23"/>
      <c r="AJ79" s="18">
        <v>0</v>
      </c>
      <c r="AK79" s="16">
        <v>0</v>
      </c>
      <c r="AL79" s="18">
        <v>2500</v>
      </c>
      <c r="AM79" s="18">
        <v>2700</v>
      </c>
      <c r="AN79" s="18">
        <v>1800</v>
      </c>
      <c r="AO79" s="16">
        <v>1800</v>
      </c>
      <c r="AP79" s="18">
        <v>2500</v>
      </c>
      <c r="AQ79" s="18">
        <v>2500</v>
      </c>
      <c r="AR79" s="18">
        <v>3000</v>
      </c>
      <c r="AS79" s="18">
        <v>3000</v>
      </c>
      <c r="AT79" s="18">
        <v>3000</v>
      </c>
      <c r="AU79" s="18">
        <v>3000</v>
      </c>
      <c r="AV79" s="18">
        <v>3000</v>
      </c>
      <c r="AW79" s="16">
        <v>3000</v>
      </c>
      <c r="AX79" s="23"/>
      <c r="AY79" s="23"/>
      <c r="AZ79" s="23"/>
      <c r="BA79" s="29"/>
      <c r="BB79" s="23"/>
      <c r="BC79" s="23"/>
      <c r="BD79" s="23"/>
      <c r="BE79" s="29"/>
      <c r="BF79" s="23"/>
      <c r="BG79" s="23"/>
      <c r="BH79" s="23"/>
      <c r="BI79" s="28"/>
      <c r="BJ79" s="28"/>
      <c r="BK79" s="23"/>
      <c r="BL79" s="23"/>
    </row>
    <row r="80" spans="1:64" ht="15.75" customHeight="1" x14ac:dyDescent="0.15">
      <c r="A80" s="12">
        <v>2012</v>
      </c>
      <c r="B80" s="13">
        <v>45748</v>
      </c>
      <c r="C80" s="14">
        <v>4.2118055555555554E-2</v>
      </c>
      <c r="D80" s="14"/>
      <c r="E80" s="15">
        <f t="shared" si="2"/>
        <v>-4.2118055555555554E-2</v>
      </c>
      <c r="F80" s="16" t="s">
        <v>156</v>
      </c>
      <c r="G80" s="12" t="s">
        <v>157</v>
      </c>
      <c r="H80" s="16" t="s">
        <v>158</v>
      </c>
      <c r="I80" s="12"/>
      <c r="J80" s="12"/>
      <c r="K80" s="12"/>
      <c r="L80" s="12"/>
      <c r="M80" s="12"/>
      <c r="N80" s="12"/>
      <c r="O80" s="16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2"/>
      <c r="AA80" s="12"/>
      <c r="AB80" s="12"/>
      <c r="AC80" s="16"/>
      <c r="AD80" s="12"/>
      <c r="AE80" s="12"/>
      <c r="AF80" s="12"/>
      <c r="AG80" s="12"/>
      <c r="AH80" s="12"/>
      <c r="AI80" s="12"/>
      <c r="AJ80" s="12"/>
      <c r="AK80" s="16"/>
      <c r="AL80" s="12"/>
      <c r="AM80" s="12"/>
      <c r="AN80" s="12"/>
      <c r="AO80" s="16"/>
      <c r="AP80" s="12"/>
      <c r="AQ80" s="12"/>
      <c r="AR80" s="12"/>
      <c r="AS80" s="12"/>
      <c r="AT80" s="12"/>
      <c r="AU80" s="12"/>
      <c r="AV80" s="12"/>
      <c r="AW80" s="16"/>
      <c r="AX80" s="12"/>
      <c r="AY80" s="12"/>
      <c r="AZ80" s="12"/>
      <c r="BA80" s="17"/>
      <c r="BB80" s="12"/>
      <c r="BC80" s="12"/>
      <c r="BD80" s="12"/>
      <c r="BE80" s="17"/>
      <c r="BF80" s="12"/>
      <c r="BG80" s="12"/>
      <c r="BH80" s="12"/>
      <c r="BI80" s="16"/>
      <c r="BJ80" s="16"/>
      <c r="BK80" s="12"/>
      <c r="BL80" s="12"/>
    </row>
    <row r="81" spans="1:64" ht="15.75" customHeight="1" x14ac:dyDescent="0.15">
      <c r="A81" s="12">
        <v>2013</v>
      </c>
      <c r="B81" s="30">
        <v>45748</v>
      </c>
      <c r="C81" s="26"/>
      <c r="D81" s="26"/>
      <c r="E81" s="32">
        <f t="shared" si="2"/>
        <v>0</v>
      </c>
      <c r="F81" s="27" t="s">
        <v>156</v>
      </c>
      <c r="G81" s="20" t="s">
        <v>157</v>
      </c>
      <c r="H81" s="27"/>
      <c r="I81" s="20"/>
      <c r="J81" s="20"/>
      <c r="K81" s="20"/>
      <c r="L81" s="20"/>
      <c r="M81" s="20"/>
      <c r="N81" s="20"/>
      <c r="O81" s="27"/>
      <c r="P81" s="20"/>
      <c r="Q81" s="20"/>
      <c r="R81" s="20"/>
      <c r="S81" s="20"/>
      <c r="T81" s="20"/>
      <c r="U81" s="20"/>
      <c r="V81" s="27"/>
      <c r="W81" s="20"/>
      <c r="X81" s="20"/>
      <c r="Y81" s="20"/>
      <c r="Z81" s="20"/>
      <c r="AA81" s="20"/>
      <c r="AB81" s="20"/>
      <c r="AC81" s="27"/>
      <c r="AD81" s="20"/>
      <c r="AE81" s="20"/>
      <c r="AF81" s="20"/>
      <c r="AG81" s="20"/>
      <c r="AH81" s="20"/>
      <c r="AI81" s="20"/>
      <c r="AJ81" s="20"/>
      <c r="AK81" s="27"/>
      <c r="AL81" s="23"/>
      <c r="AM81" s="23"/>
      <c r="AN81" s="23"/>
      <c r="AO81" s="28"/>
      <c r="AP81" s="23"/>
      <c r="AQ81" s="23"/>
      <c r="AR81" s="23"/>
      <c r="AS81" s="23"/>
      <c r="AT81" s="23"/>
      <c r="AU81" s="23"/>
      <c r="AV81" s="23"/>
      <c r="AW81" s="28"/>
      <c r="AX81" s="23"/>
      <c r="AY81" s="23"/>
      <c r="AZ81" s="23"/>
      <c r="BA81" s="29"/>
      <c r="BB81" s="23"/>
      <c r="BC81" s="23"/>
      <c r="BD81" s="23"/>
      <c r="BE81" s="29"/>
      <c r="BF81" s="23"/>
      <c r="BG81" s="23"/>
      <c r="BH81" s="23"/>
      <c r="BI81" s="28"/>
      <c r="BJ81" s="28"/>
      <c r="BK81" s="23"/>
      <c r="BL81" s="23"/>
    </row>
    <row r="82" spans="1:64" ht="15.75" customHeight="1" x14ac:dyDescent="0.15">
      <c r="A82" s="12">
        <v>2014</v>
      </c>
      <c r="B82" s="30">
        <v>45748</v>
      </c>
      <c r="C82" s="26">
        <v>6.2546296296296294E-2</v>
      </c>
      <c r="D82" s="26"/>
      <c r="E82" s="32">
        <f t="shared" si="2"/>
        <v>-6.2546296296296294E-2</v>
      </c>
      <c r="F82" s="27" t="s">
        <v>156</v>
      </c>
      <c r="G82" s="20" t="s">
        <v>159</v>
      </c>
      <c r="H82" s="27"/>
      <c r="I82" s="20"/>
      <c r="J82" s="20"/>
      <c r="K82" s="20"/>
      <c r="L82" s="20"/>
      <c r="M82" s="20"/>
      <c r="N82" s="20"/>
      <c r="O82" s="27"/>
      <c r="P82" s="20"/>
      <c r="Q82" s="20"/>
      <c r="R82" s="20"/>
      <c r="S82" s="20"/>
      <c r="T82" s="20"/>
      <c r="U82" s="20"/>
      <c r="V82" s="27"/>
      <c r="W82" s="20"/>
      <c r="X82" s="20"/>
      <c r="Y82" s="20"/>
      <c r="Z82" s="20"/>
      <c r="AA82" s="20"/>
      <c r="AB82" s="20"/>
      <c r="AC82" s="27"/>
      <c r="AD82" s="20"/>
      <c r="AE82" s="20"/>
      <c r="AF82" s="20"/>
      <c r="AG82" s="20"/>
      <c r="AH82" s="20"/>
      <c r="AI82" s="20"/>
      <c r="AJ82" s="20"/>
      <c r="AK82" s="27"/>
      <c r="AL82" s="23"/>
      <c r="AM82" s="23"/>
      <c r="AN82" s="23"/>
      <c r="AO82" s="28"/>
      <c r="AP82" s="23"/>
      <c r="AQ82" s="23"/>
      <c r="AR82" s="23"/>
      <c r="AS82" s="23"/>
      <c r="AT82" s="23"/>
      <c r="AU82" s="23"/>
      <c r="AV82" s="23"/>
      <c r="AW82" s="28"/>
      <c r="AX82" s="23"/>
      <c r="AY82" s="23"/>
      <c r="AZ82" s="23"/>
      <c r="BA82" s="29"/>
      <c r="BB82" s="23"/>
      <c r="BC82" s="23"/>
      <c r="BD82" s="23"/>
      <c r="BE82" s="29"/>
      <c r="BF82" s="23"/>
      <c r="BG82" s="23"/>
      <c r="BH82" s="23"/>
      <c r="BI82" s="28"/>
      <c r="BJ82" s="28"/>
      <c r="BK82" s="23"/>
      <c r="BL82" s="23"/>
    </row>
    <row r="83" spans="1:64" ht="15.75" customHeight="1" x14ac:dyDescent="0.15">
      <c r="A83" s="12">
        <v>2015</v>
      </c>
      <c r="B83" s="30">
        <v>45748</v>
      </c>
      <c r="C83" s="26">
        <v>7.0451388888888883E-2</v>
      </c>
      <c r="D83" s="26">
        <v>7.4155092592592592E-2</v>
      </c>
      <c r="E83" s="32">
        <f t="shared" si="2"/>
        <v>3.703703703703709E-3</v>
      </c>
      <c r="F83" s="27" t="s">
        <v>156</v>
      </c>
      <c r="G83" s="20" t="s">
        <v>160</v>
      </c>
      <c r="H83" s="27"/>
      <c r="I83" s="20" t="s">
        <v>96</v>
      </c>
      <c r="J83" s="20" t="s">
        <v>82</v>
      </c>
      <c r="K83" s="20">
        <v>90</v>
      </c>
      <c r="L83" s="20">
        <v>200</v>
      </c>
      <c r="M83" s="20" t="s">
        <v>77</v>
      </c>
      <c r="N83" s="20"/>
      <c r="O83" s="27"/>
      <c r="P83" s="20"/>
      <c r="Q83" s="20"/>
      <c r="R83" s="20"/>
      <c r="S83" s="20"/>
      <c r="T83" s="20"/>
      <c r="U83" s="20"/>
      <c r="V83" s="27"/>
      <c r="W83" s="20">
        <v>46.26</v>
      </c>
      <c r="X83" s="20" t="s">
        <v>76</v>
      </c>
      <c r="Y83" s="20">
        <v>925.4</v>
      </c>
      <c r="Z83" s="20">
        <v>90.873999999999995</v>
      </c>
      <c r="AA83" s="20"/>
      <c r="AB83" s="31">
        <v>5800</v>
      </c>
      <c r="AC83" s="27">
        <v>300</v>
      </c>
      <c r="AD83" s="20">
        <v>58.56</v>
      </c>
      <c r="AE83" s="20" t="s">
        <v>76</v>
      </c>
      <c r="AF83" s="20">
        <v>-654.92999999999995</v>
      </c>
      <c r="AG83" s="20">
        <v>223.82640000000001</v>
      </c>
      <c r="AH83" s="20"/>
      <c r="AI83" s="20"/>
      <c r="AJ83" s="20">
        <v>4500</v>
      </c>
      <c r="AK83" s="27">
        <v>300</v>
      </c>
      <c r="AL83" s="18">
        <v>2500</v>
      </c>
      <c r="AM83" s="18">
        <v>2700</v>
      </c>
      <c r="AN83" s="18">
        <v>1800</v>
      </c>
      <c r="AO83" s="16">
        <v>1800</v>
      </c>
      <c r="AP83" s="18">
        <v>2500</v>
      </c>
      <c r="AQ83" s="18">
        <v>2500</v>
      </c>
      <c r="AR83" s="18">
        <v>3000</v>
      </c>
      <c r="AS83" s="18">
        <v>3000</v>
      </c>
      <c r="AT83" s="18">
        <v>3000</v>
      </c>
      <c r="AU83" s="18">
        <v>3000</v>
      </c>
      <c r="AV83" s="18">
        <v>3000</v>
      </c>
      <c r="AW83" s="16">
        <v>3000</v>
      </c>
      <c r="AX83" s="23"/>
      <c r="AY83" s="23"/>
      <c r="AZ83" s="23"/>
      <c r="BA83" s="29"/>
      <c r="BB83" s="23"/>
      <c r="BC83" s="23"/>
      <c r="BD83" s="23"/>
      <c r="BE83" s="29"/>
      <c r="BF83" s="23"/>
      <c r="BG83" s="23"/>
      <c r="BH83" s="23"/>
      <c r="BI83" s="28"/>
      <c r="BJ83" s="28"/>
      <c r="BK83" s="23"/>
      <c r="BL83" s="23"/>
    </row>
    <row r="84" spans="1:64" ht="15.75" customHeight="1" x14ac:dyDescent="0.15">
      <c r="A84" s="12">
        <v>2016</v>
      </c>
      <c r="B84" s="30">
        <v>45748</v>
      </c>
      <c r="C84" s="42"/>
      <c r="D84" s="42"/>
      <c r="E84" s="15">
        <f t="shared" si="2"/>
        <v>0</v>
      </c>
      <c r="F84" s="28"/>
      <c r="G84" s="23"/>
      <c r="H84" s="55" t="s">
        <v>133</v>
      </c>
      <c r="I84" s="23"/>
      <c r="J84" s="23"/>
      <c r="K84" s="23"/>
      <c r="L84" s="23"/>
      <c r="M84" s="23"/>
      <c r="N84" s="23"/>
      <c r="O84" s="28"/>
      <c r="P84" s="23"/>
      <c r="Q84" s="23"/>
      <c r="R84" s="23"/>
      <c r="S84" s="23"/>
      <c r="T84" s="23"/>
      <c r="U84" s="23"/>
      <c r="V84" s="28"/>
      <c r="W84" s="23"/>
      <c r="X84" s="23"/>
      <c r="Y84" s="23"/>
      <c r="Z84" s="23"/>
      <c r="AA84" s="23"/>
      <c r="AB84" s="23"/>
      <c r="AC84" s="28"/>
      <c r="AD84" s="23"/>
      <c r="AE84" s="23"/>
      <c r="AF84" s="23"/>
      <c r="AG84" s="23"/>
      <c r="AH84" s="23"/>
      <c r="AI84" s="23"/>
      <c r="AJ84" s="23"/>
      <c r="AK84" s="28"/>
      <c r="AL84" s="23"/>
      <c r="AM84" s="23"/>
      <c r="AN84" s="23"/>
      <c r="AO84" s="28"/>
      <c r="AP84" s="23"/>
      <c r="AQ84" s="23"/>
      <c r="AR84" s="23"/>
      <c r="AS84" s="23"/>
      <c r="AT84" s="23"/>
      <c r="AU84" s="23"/>
      <c r="AV84" s="23"/>
      <c r="AW84" s="28"/>
      <c r="AX84" s="23"/>
      <c r="AY84" s="23"/>
      <c r="AZ84" s="23"/>
      <c r="BA84" s="29"/>
      <c r="BB84" s="23"/>
      <c r="BC84" s="23"/>
      <c r="BD84" s="23"/>
      <c r="BE84" s="29"/>
      <c r="BF84" s="23"/>
      <c r="BG84" s="23"/>
      <c r="BH84" s="23"/>
      <c r="BI84" s="28"/>
      <c r="BJ84" s="28"/>
      <c r="BK84" s="23"/>
      <c r="BL84" s="23"/>
    </row>
    <row r="85" spans="1:64" ht="15.75" customHeight="1" x14ac:dyDescent="0.15">
      <c r="A85" s="12">
        <v>2017</v>
      </c>
      <c r="B85" s="30">
        <v>45748</v>
      </c>
      <c r="C85" s="14">
        <v>0.15416666666666667</v>
      </c>
      <c r="D85" s="14"/>
      <c r="E85" s="15">
        <f t="shared" si="2"/>
        <v>-0.15416666666666667</v>
      </c>
      <c r="F85" s="16" t="s">
        <v>156</v>
      </c>
      <c r="G85" s="20" t="s">
        <v>160</v>
      </c>
      <c r="H85" s="16"/>
      <c r="I85" s="12" t="s">
        <v>96</v>
      </c>
      <c r="J85" s="12" t="s">
        <v>82</v>
      </c>
      <c r="K85" s="12">
        <v>60</v>
      </c>
      <c r="L85" s="12">
        <v>200</v>
      </c>
      <c r="M85" s="12" t="s">
        <v>77</v>
      </c>
      <c r="N85" s="12"/>
      <c r="O85" s="16"/>
      <c r="V85" s="16"/>
      <c r="W85" s="20">
        <v>46.26</v>
      </c>
      <c r="X85" s="12" t="s">
        <v>76</v>
      </c>
      <c r="Y85" s="20">
        <v>925.4</v>
      </c>
      <c r="Z85" s="20">
        <v>90.873999999999995</v>
      </c>
      <c r="AA85" s="20"/>
      <c r="AB85" s="31">
        <v>5800</v>
      </c>
      <c r="AC85" s="27">
        <v>300</v>
      </c>
      <c r="AD85" s="20">
        <v>58.56</v>
      </c>
      <c r="AE85" s="12" t="s">
        <v>85</v>
      </c>
      <c r="AF85" s="20">
        <v>-654.92999999999995</v>
      </c>
      <c r="AG85" s="20">
        <v>223.82640000000001</v>
      </c>
      <c r="AH85" s="20"/>
      <c r="AI85" s="20"/>
      <c r="AJ85" s="20">
        <v>4500</v>
      </c>
      <c r="AK85" s="27">
        <v>300</v>
      </c>
      <c r="AL85" s="18">
        <v>2500</v>
      </c>
      <c r="AM85" s="18">
        <v>2700</v>
      </c>
      <c r="AN85" s="18">
        <v>1800</v>
      </c>
      <c r="AO85" s="16">
        <v>1800</v>
      </c>
      <c r="AP85" s="18">
        <v>2500</v>
      </c>
      <c r="AQ85" s="18">
        <v>2500</v>
      </c>
      <c r="AR85" s="18">
        <v>3000</v>
      </c>
      <c r="AS85" s="18">
        <v>3000</v>
      </c>
      <c r="AT85" s="18">
        <v>3000</v>
      </c>
      <c r="AU85" s="18">
        <v>3000</v>
      </c>
      <c r="AV85" s="18">
        <v>3000</v>
      </c>
      <c r="AW85" s="16">
        <v>3000</v>
      </c>
      <c r="BA85" s="17"/>
      <c r="BE85" s="17"/>
      <c r="BI85" s="16"/>
      <c r="BJ85" s="16"/>
    </row>
    <row r="86" spans="1:64" ht="15.75" customHeight="1" x14ac:dyDescent="0.15">
      <c r="A86" s="12">
        <v>2018</v>
      </c>
      <c r="B86" s="30">
        <v>45748</v>
      </c>
      <c r="C86" s="14">
        <v>0.16012731481481482</v>
      </c>
      <c r="D86" s="14">
        <v>0.16429398148148147</v>
      </c>
      <c r="E86" s="15">
        <f t="shared" si="2"/>
        <v>4.1666666666666519E-3</v>
      </c>
      <c r="F86" s="16" t="s">
        <v>156</v>
      </c>
      <c r="G86" s="20" t="s">
        <v>160</v>
      </c>
      <c r="H86" s="16"/>
      <c r="I86" s="12"/>
      <c r="J86" s="12"/>
      <c r="K86" s="12"/>
      <c r="L86" s="12"/>
      <c r="M86" s="12"/>
      <c r="N86" s="12"/>
      <c r="O86" s="16"/>
      <c r="V86" s="16"/>
      <c r="W86" s="12"/>
      <c r="X86" s="12"/>
      <c r="Y86" s="12"/>
      <c r="Z86" s="12"/>
      <c r="AC86" s="16"/>
      <c r="AE86" s="12" t="s">
        <v>85</v>
      </c>
      <c r="AJ86" s="20">
        <v>4600</v>
      </c>
      <c r="AK86" s="16">
        <v>300</v>
      </c>
      <c r="AO86" s="16"/>
      <c r="AW86" s="16"/>
      <c r="BA86" s="17"/>
      <c r="BE86" s="17"/>
      <c r="BI86" s="16"/>
      <c r="BJ86" s="16"/>
    </row>
    <row r="87" spans="1:64" ht="15.75" customHeight="1" x14ac:dyDescent="0.15">
      <c r="A87" s="12">
        <v>2019</v>
      </c>
      <c r="B87" s="30">
        <v>45748</v>
      </c>
      <c r="C87" s="14">
        <v>0.1688425925925926</v>
      </c>
      <c r="D87" s="14"/>
      <c r="E87" s="15">
        <f t="shared" si="2"/>
        <v>-0.1688425925925926</v>
      </c>
      <c r="F87" s="16" t="s">
        <v>156</v>
      </c>
      <c r="G87" s="12"/>
      <c r="H87" s="16"/>
      <c r="I87" s="12"/>
      <c r="J87" s="12"/>
      <c r="K87" s="12"/>
      <c r="L87" s="12"/>
      <c r="M87" s="12"/>
      <c r="N87" s="12"/>
      <c r="O87" s="16"/>
      <c r="V87" s="16"/>
      <c r="W87" s="12"/>
      <c r="X87" s="12"/>
      <c r="Y87" s="12"/>
      <c r="Z87" s="12"/>
      <c r="AC87" s="16"/>
      <c r="AE87" s="12" t="s">
        <v>85</v>
      </c>
      <c r="AJ87" s="20">
        <v>4600</v>
      </c>
      <c r="AK87" s="16">
        <v>300</v>
      </c>
      <c r="AO87" s="16"/>
      <c r="AW87" s="16"/>
      <c r="BA87" s="17"/>
      <c r="BE87" s="17"/>
      <c r="BI87" s="16"/>
      <c r="BJ87" s="16"/>
    </row>
    <row r="88" spans="1:64" ht="15.75" customHeight="1" x14ac:dyDescent="0.15">
      <c r="A88" s="12">
        <v>2020</v>
      </c>
      <c r="B88" s="30">
        <v>45748</v>
      </c>
      <c r="C88" s="15"/>
      <c r="D88" s="14"/>
      <c r="E88" s="15">
        <f t="shared" si="2"/>
        <v>0</v>
      </c>
      <c r="F88" s="16"/>
      <c r="G88" s="12"/>
      <c r="H88" s="16"/>
      <c r="I88" s="12"/>
      <c r="J88" s="12"/>
      <c r="K88" s="12"/>
      <c r="L88" s="12"/>
      <c r="M88" s="12"/>
      <c r="N88" s="12"/>
      <c r="O88" s="16"/>
      <c r="V88" s="16"/>
      <c r="W88" s="12"/>
      <c r="X88" s="12"/>
      <c r="Y88" s="12"/>
      <c r="Z88" s="12"/>
      <c r="AC88" s="16"/>
      <c r="AE88" s="12" t="s">
        <v>76</v>
      </c>
      <c r="AJ88" s="18">
        <v>4800</v>
      </c>
      <c r="AK88" s="16">
        <v>300</v>
      </c>
      <c r="AO88" s="16"/>
      <c r="AW88" s="16"/>
      <c r="BA88" s="17"/>
      <c r="BE88" s="17"/>
      <c r="BI88" s="16"/>
      <c r="BJ88" s="16"/>
    </row>
    <row r="89" spans="1:64" ht="15.75" customHeight="1" x14ac:dyDescent="0.15">
      <c r="A89" s="12">
        <v>2021</v>
      </c>
      <c r="B89" s="30">
        <v>45748</v>
      </c>
      <c r="C89" s="14"/>
      <c r="D89" s="14"/>
      <c r="E89" s="15">
        <f t="shared" si="2"/>
        <v>0</v>
      </c>
      <c r="F89" s="16"/>
      <c r="G89" s="12"/>
      <c r="H89" s="16"/>
      <c r="I89" s="12"/>
      <c r="J89" s="12"/>
      <c r="K89" s="12"/>
      <c r="L89" s="12"/>
      <c r="M89" s="12"/>
      <c r="N89" s="12"/>
      <c r="O89" s="16"/>
      <c r="V89" s="16"/>
      <c r="W89" s="12"/>
      <c r="X89" s="12"/>
      <c r="Y89" s="12"/>
      <c r="Z89" s="12"/>
      <c r="AC89" s="16"/>
      <c r="AE89" s="12"/>
      <c r="AK89" s="16"/>
      <c r="AO89" s="16"/>
      <c r="AW89" s="16"/>
      <c r="BA89" s="17"/>
      <c r="BE89" s="17"/>
      <c r="BI89" s="16"/>
      <c r="BJ89" s="16"/>
    </row>
    <row r="90" spans="1:64" ht="15.75" customHeight="1" x14ac:dyDescent="0.15">
      <c r="A90" s="12">
        <v>2022</v>
      </c>
      <c r="B90" s="30">
        <v>45748</v>
      </c>
      <c r="C90" s="14">
        <v>0.27444444444444444</v>
      </c>
      <c r="D90" s="14"/>
      <c r="E90" s="15">
        <f t="shared" si="2"/>
        <v>-0.27444444444444444</v>
      </c>
      <c r="F90" s="16" t="s">
        <v>74</v>
      </c>
      <c r="G90" s="20" t="s">
        <v>161</v>
      </c>
      <c r="H90" s="55" t="s">
        <v>133</v>
      </c>
      <c r="I90" s="12" t="s">
        <v>96</v>
      </c>
      <c r="J90" s="12" t="s">
        <v>82</v>
      </c>
      <c r="K90" s="12">
        <v>100</v>
      </c>
      <c r="L90" s="12">
        <v>200</v>
      </c>
      <c r="M90" s="12" t="s">
        <v>77</v>
      </c>
      <c r="N90" s="12"/>
      <c r="O90" s="16"/>
      <c r="V90" s="16"/>
      <c r="W90" s="20">
        <v>46.26</v>
      </c>
      <c r="X90" s="12" t="s">
        <v>76</v>
      </c>
      <c r="Y90" s="20">
        <v>925.4</v>
      </c>
      <c r="Z90" s="20">
        <v>90.873999999999995</v>
      </c>
      <c r="AA90" s="20"/>
      <c r="AB90" s="31">
        <v>5800</v>
      </c>
      <c r="AC90" s="27">
        <v>300</v>
      </c>
      <c r="AD90" s="20">
        <v>58.56</v>
      </c>
      <c r="AE90" s="12" t="s">
        <v>76</v>
      </c>
      <c r="AF90" s="20">
        <v>-654.92999999999995</v>
      </c>
      <c r="AG90" s="20">
        <v>223.82640000000001</v>
      </c>
      <c r="AJ90" s="18">
        <v>4800</v>
      </c>
      <c r="AK90" s="16">
        <v>300</v>
      </c>
      <c r="AL90" s="18">
        <v>2500</v>
      </c>
      <c r="AM90" s="18">
        <v>2700</v>
      </c>
      <c r="AN90" s="18">
        <v>1800</v>
      </c>
      <c r="AO90" s="16">
        <v>1800</v>
      </c>
      <c r="AP90" s="18">
        <v>2500</v>
      </c>
      <c r="AQ90" s="18">
        <v>2500</v>
      </c>
      <c r="AR90" s="18">
        <v>3000</v>
      </c>
      <c r="AS90" s="18">
        <v>3000</v>
      </c>
      <c r="AT90" s="18">
        <v>3000</v>
      </c>
      <c r="AU90" s="18">
        <v>3000</v>
      </c>
      <c r="AV90" s="18">
        <v>3000</v>
      </c>
      <c r="AW90" s="16">
        <v>3000</v>
      </c>
      <c r="BA90" s="17"/>
      <c r="BE90" s="17"/>
      <c r="BI90" s="16"/>
      <c r="BJ90" s="16"/>
    </row>
    <row r="91" spans="1:64" ht="15.75" customHeight="1" x14ac:dyDescent="0.15">
      <c r="A91" s="12">
        <v>2023</v>
      </c>
      <c r="B91" s="30">
        <v>45748</v>
      </c>
      <c r="C91" s="14">
        <v>0.28356481481481483</v>
      </c>
      <c r="D91" s="14"/>
      <c r="E91" s="15">
        <f t="shared" si="2"/>
        <v>-0.28356481481481483</v>
      </c>
      <c r="F91" s="16" t="s">
        <v>74</v>
      </c>
      <c r="G91" s="20" t="s">
        <v>161</v>
      </c>
      <c r="H91" s="55" t="s">
        <v>133</v>
      </c>
      <c r="I91" s="12" t="s">
        <v>96</v>
      </c>
      <c r="J91" s="12" t="s">
        <v>82</v>
      </c>
      <c r="K91" s="12">
        <v>110</v>
      </c>
      <c r="L91" s="12">
        <v>200</v>
      </c>
      <c r="M91" s="12" t="s">
        <v>77</v>
      </c>
      <c r="N91" s="12"/>
      <c r="O91" s="16"/>
      <c r="V91" s="16"/>
      <c r="W91" s="12">
        <v>46.26</v>
      </c>
      <c r="X91" s="12" t="s">
        <v>76</v>
      </c>
      <c r="Y91" s="20">
        <v>925.4</v>
      </c>
      <c r="Z91" s="20">
        <v>90.873999999999995</v>
      </c>
      <c r="AA91" s="20"/>
      <c r="AB91" s="31">
        <v>5800</v>
      </c>
      <c r="AC91" s="27">
        <v>300</v>
      </c>
      <c r="AD91" s="20">
        <v>58.56</v>
      </c>
      <c r="AE91" s="12" t="s">
        <v>76</v>
      </c>
      <c r="AF91" s="20">
        <v>-654.92999999999995</v>
      </c>
      <c r="AG91" s="20">
        <v>223.82640000000001</v>
      </c>
      <c r="AJ91" s="18">
        <v>4800</v>
      </c>
      <c r="AK91" s="16">
        <v>300</v>
      </c>
      <c r="AL91" s="18">
        <v>2500</v>
      </c>
      <c r="AM91" s="18">
        <v>2700</v>
      </c>
      <c r="AN91" s="18">
        <v>1800</v>
      </c>
      <c r="AO91" s="16">
        <v>1800</v>
      </c>
      <c r="AP91" s="18">
        <v>2500</v>
      </c>
      <c r="AQ91" s="18">
        <v>2500</v>
      </c>
      <c r="AR91" s="18">
        <v>3000</v>
      </c>
      <c r="AS91" s="18">
        <v>3000</v>
      </c>
      <c r="AT91" s="18">
        <v>3000</v>
      </c>
      <c r="AU91" s="18">
        <v>3000</v>
      </c>
      <c r="AV91" s="18">
        <v>3000</v>
      </c>
      <c r="AW91" s="16">
        <v>3000</v>
      </c>
      <c r="BA91" s="17"/>
      <c r="BE91" s="17"/>
      <c r="BI91" s="16"/>
      <c r="BJ91" s="16"/>
    </row>
    <row r="92" spans="1:64" ht="16" customHeight="1" x14ac:dyDescent="0.15">
      <c r="A92" s="12">
        <v>2024</v>
      </c>
      <c r="B92" s="30">
        <v>45748</v>
      </c>
      <c r="C92" s="14">
        <v>0.28795138888888888</v>
      </c>
      <c r="D92" s="14"/>
      <c r="E92" s="15">
        <f t="shared" si="2"/>
        <v>-0.28795138888888888</v>
      </c>
      <c r="F92" s="16" t="s">
        <v>74</v>
      </c>
      <c r="G92" s="20" t="s">
        <v>161</v>
      </c>
      <c r="H92" s="16"/>
      <c r="I92" s="12" t="s">
        <v>96</v>
      </c>
      <c r="J92" s="12" t="s">
        <v>82</v>
      </c>
      <c r="K92" s="12">
        <v>100</v>
      </c>
      <c r="L92" s="12">
        <v>200</v>
      </c>
      <c r="M92" s="12" t="s">
        <v>77</v>
      </c>
      <c r="N92" s="12"/>
      <c r="O92" s="16"/>
      <c r="V92" s="16"/>
      <c r="W92" s="12">
        <v>46.26</v>
      </c>
      <c r="X92" s="12" t="s">
        <v>76</v>
      </c>
      <c r="Y92" s="20">
        <v>925.4</v>
      </c>
      <c r="Z92" s="20">
        <v>90.873999999999995</v>
      </c>
      <c r="AA92" s="20"/>
      <c r="AB92" s="31">
        <v>5800</v>
      </c>
      <c r="AC92" s="27">
        <v>300</v>
      </c>
      <c r="AD92" s="20">
        <v>58.56</v>
      </c>
      <c r="AE92" s="12" t="s">
        <v>76</v>
      </c>
      <c r="AF92" s="20">
        <v>-654.92999999999995</v>
      </c>
      <c r="AG92" s="20">
        <v>223.82640000000001</v>
      </c>
      <c r="AJ92" s="18">
        <v>4800</v>
      </c>
      <c r="AK92" s="16">
        <v>300</v>
      </c>
      <c r="AL92" s="18">
        <v>2500</v>
      </c>
      <c r="AM92" s="18">
        <v>2700</v>
      </c>
      <c r="AN92" s="18">
        <v>1800</v>
      </c>
      <c r="AO92" s="16">
        <v>1800</v>
      </c>
      <c r="AP92" s="18">
        <v>2500</v>
      </c>
      <c r="AQ92" s="18">
        <v>2500</v>
      </c>
      <c r="AR92" s="18">
        <v>3000</v>
      </c>
      <c r="AS92" s="18">
        <v>3000</v>
      </c>
      <c r="AT92" s="18">
        <v>3000</v>
      </c>
      <c r="AU92" s="18">
        <v>3000</v>
      </c>
      <c r="AV92" s="18">
        <v>3000</v>
      </c>
      <c r="AW92" s="16">
        <v>3000</v>
      </c>
      <c r="BA92" s="17"/>
      <c r="BE92" s="17"/>
      <c r="BI92" s="16"/>
      <c r="BJ92" s="16"/>
    </row>
    <row r="93" spans="1:64" s="81" customFormat="1" ht="16" customHeight="1" x14ac:dyDescent="0.15">
      <c r="A93" s="81">
        <v>2025</v>
      </c>
      <c r="B93" s="82">
        <v>45748</v>
      </c>
      <c r="C93" s="83">
        <v>0.29096064814814815</v>
      </c>
      <c r="D93" s="83">
        <v>0.33805555555555555</v>
      </c>
      <c r="E93" s="84">
        <f t="shared" si="2"/>
        <v>4.7094907407407405E-2</v>
      </c>
      <c r="F93" s="85" t="s">
        <v>74</v>
      </c>
      <c r="G93" s="81" t="s">
        <v>186</v>
      </c>
      <c r="H93" s="85"/>
      <c r="I93" s="81" t="s">
        <v>96</v>
      </c>
      <c r="J93" s="81" t="s">
        <v>82</v>
      </c>
      <c r="K93" s="81">
        <v>100</v>
      </c>
      <c r="L93" s="81">
        <v>200</v>
      </c>
      <c r="M93" s="81" t="s">
        <v>77</v>
      </c>
      <c r="O93" s="85"/>
      <c r="V93" s="85"/>
      <c r="W93" s="81">
        <v>46.26</v>
      </c>
      <c r="X93" s="81" t="s">
        <v>76</v>
      </c>
      <c r="Y93" s="81">
        <v>925.4</v>
      </c>
      <c r="Z93" s="81">
        <v>90.873999999999995</v>
      </c>
      <c r="AB93" s="81">
        <v>5800</v>
      </c>
      <c r="AC93" s="85">
        <v>300</v>
      </c>
      <c r="AD93" s="81">
        <v>58.56</v>
      </c>
      <c r="AE93" s="81" t="s">
        <v>76</v>
      </c>
      <c r="AF93" s="81">
        <v>-654.92999999999995</v>
      </c>
      <c r="AG93" s="81">
        <v>223.82640000000001</v>
      </c>
      <c r="AJ93" s="81">
        <v>4800</v>
      </c>
      <c r="AK93" s="85">
        <v>300</v>
      </c>
      <c r="AL93" s="81">
        <v>2500</v>
      </c>
      <c r="AM93" s="81">
        <v>2700</v>
      </c>
      <c r="AN93" s="81">
        <v>1800</v>
      </c>
      <c r="AO93" s="85">
        <v>1800</v>
      </c>
      <c r="AP93" s="81">
        <v>2500</v>
      </c>
      <c r="AQ93" s="81">
        <v>2500</v>
      </c>
      <c r="AR93" s="81">
        <v>3000</v>
      </c>
      <c r="AS93" s="81">
        <v>3000</v>
      </c>
      <c r="AT93" s="81">
        <v>3000</v>
      </c>
      <c r="AU93" s="81">
        <v>3000</v>
      </c>
      <c r="AV93" s="81">
        <v>3000</v>
      </c>
      <c r="AW93" s="85">
        <v>3000</v>
      </c>
      <c r="BA93" s="86"/>
      <c r="BE93" s="86"/>
      <c r="BI93" s="85"/>
      <c r="BJ93" s="85"/>
    </row>
    <row r="94" spans="1:64" s="81" customFormat="1" ht="15" customHeight="1" x14ac:dyDescent="0.15">
      <c r="A94" s="81">
        <v>2026</v>
      </c>
      <c r="B94" s="82">
        <v>45748</v>
      </c>
      <c r="C94" s="83">
        <v>0.33837962962962964</v>
      </c>
      <c r="D94" s="83">
        <v>0.38017361111111109</v>
      </c>
      <c r="E94" s="84">
        <f t="shared" si="2"/>
        <v>4.1793981481481446E-2</v>
      </c>
      <c r="F94" s="85" t="s">
        <v>74</v>
      </c>
      <c r="G94" s="81" t="s">
        <v>161</v>
      </c>
      <c r="H94" s="85"/>
      <c r="I94" s="81" t="s">
        <v>96</v>
      </c>
      <c r="J94" s="81" t="s">
        <v>82</v>
      </c>
      <c r="K94" s="81">
        <v>100</v>
      </c>
      <c r="L94" s="81">
        <v>200</v>
      </c>
      <c r="M94" s="81" t="s">
        <v>77</v>
      </c>
      <c r="O94" s="85"/>
      <c r="V94" s="85"/>
      <c r="W94" s="81">
        <v>46.26</v>
      </c>
      <c r="X94" s="81" t="s">
        <v>76</v>
      </c>
      <c r="Y94" s="81">
        <v>925.4</v>
      </c>
      <c r="Z94" s="81">
        <v>90.873999999999995</v>
      </c>
      <c r="AB94" s="81">
        <v>5800</v>
      </c>
      <c r="AC94" s="85">
        <v>300</v>
      </c>
      <c r="AD94" s="81">
        <v>58.56</v>
      </c>
      <c r="AE94" s="81" t="s">
        <v>76</v>
      </c>
      <c r="AF94" s="81">
        <v>-654.92999999999995</v>
      </c>
      <c r="AG94" s="81">
        <v>223.82640000000001</v>
      </c>
      <c r="AJ94" s="81">
        <v>4800</v>
      </c>
      <c r="AK94" s="85">
        <v>300</v>
      </c>
      <c r="AL94" s="81">
        <v>2500</v>
      </c>
      <c r="AM94" s="81">
        <v>2700</v>
      </c>
      <c r="AN94" s="81">
        <v>1800</v>
      </c>
      <c r="AO94" s="85">
        <v>1800</v>
      </c>
      <c r="AP94" s="81">
        <v>2500</v>
      </c>
      <c r="AQ94" s="81">
        <v>2500</v>
      </c>
      <c r="AR94" s="81">
        <v>3000</v>
      </c>
      <c r="AS94" s="81">
        <v>3000</v>
      </c>
      <c r="AT94" s="81">
        <v>3000</v>
      </c>
      <c r="AU94" s="81">
        <v>3000</v>
      </c>
      <c r="AV94" s="81">
        <v>3000</v>
      </c>
      <c r="AW94" s="85">
        <v>3000</v>
      </c>
      <c r="BA94" s="86"/>
      <c r="BE94" s="86"/>
      <c r="BI94" s="85"/>
      <c r="BJ94" s="85"/>
    </row>
    <row r="95" spans="1:64" s="87" customFormat="1" ht="15" customHeight="1" x14ac:dyDescent="0.15">
      <c r="A95" s="49">
        <v>2027</v>
      </c>
      <c r="B95" s="45">
        <v>45748</v>
      </c>
      <c r="C95" s="46">
        <v>0.38466435185185183</v>
      </c>
      <c r="D95" s="46">
        <v>0.42641203703703706</v>
      </c>
      <c r="E95" s="47">
        <f t="shared" si="2"/>
        <v>4.1747685185185235E-2</v>
      </c>
      <c r="F95" s="48" t="s">
        <v>74</v>
      </c>
      <c r="G95" s="49" t="s">
        <v>162</v>
      </c>
      <c r="H95" s="48" t="s">
        <v>187</v>
      </c>
      <c r="I95" s="49" t="s">
        <v>122</v>
      </c>
      <c r="J95" s="49" t="s">
        <v>82</v>
      </c>
      <c r="K95" s="49">
        <v>124</v>
      </c>
      <c r="L95" s="49">
        <v>200</v>
      </c>
      <c r="M95" s="49" t="s">
        <v>77</v>
      </c>
      <c r="N95" s="49"/>
      <c r="O95" s="48"/>
      <c r="V95" s="48"/>
      <c r="W95" s="49">
        <v>46.26</v>
      </c>
      <c r="X95" s="49" t="s">
        <v>76</v>
      </c>
      <c r="Y95" s="49">
        <v>925.4</v>
      </c>
      <c r="Z95" s="49">
        <v>90.873999999999995</v>
      </c>
      <c r="AA95" s="49"/>
      <c r="AB95" s="87">
        <v>5800</v>
      </c>
      <c r="AC95" s="48">
        <v>300</v>
      </c>
      <c r="AD95" s="49">
        <v>58.56</v>
      </c>
      <c r="AE95" s="49" t="s">
        <v>76</v>
      </c>
      <c r="AF95" s="49">
        <v>-654.92999999999995</v>
      </c>
      <c r="AG95" s="49">
        <v>223.82640000000001</v>
      </c>
      <c r="AJ95" s="87">
        <v>4800</v>
      </c>
      <c r="AK95" s="48">
        <v>300</v>
      </c>
      <c r="AL95" s="87">
        <v>2500</v>
      </c>
      <c r="AM95" s="87">
        <v>2700</v>
      </c>
      <c r="AN95" s="87">
        <v>1800</v>
      </c>
      <c r="AO95" s="48">
        <v>1800</v>
      </c>
      <c r="AP95" s="87">
        <v>2500</v>
      </c>
      <c r="AQ95" s="87">
        <v>2500</v>
      </c>
      <c r="AR95" s="87">
        <v>3000</v>
      </c>
      <c r="AS95" s="87">
        <v>3000</v>
      </c>
      <c r="AT95" s="87">
        <v>3000</v>
      </c>
      <c r="AU95" s="87">
        <v>3000</v>
      </c>
      <c r="AV95" s="87">
        <v>3000</v>
      </c>
      <c r="AW95" s="48">
        <v>3000</v>
      </c>
      <c r="BA95" s="50"/>
      <c r="BE95" s="50"/>
      <c r="BI95" s="48"/>
      <c r="BJ95" s="48"/>
    </row>
    <row r="96" spans="1:64" s="87" customFormat="1" ht="15.75" customHeight="1" x14ac:dyDescent="0.15">
      <c r="A96" s="49">
        <v>2028</v>
      </c>
      <c r="B96" s="45">
        <v>45748</v>
      </c>
      <c r="C96" s="46">
        <v>0.42714120370370373</v>
      </c>
      <c r="D96" s="46">
        <v>0.4689699074074074</v>
      </c>
      <c r="E96" s="47">
        <f t="shared" si="2"/>
        <v>4.1828703703703674E-2</v>
      </c>
      <c r="F96" s="48" t="s">
        <v>74</v>
      </c>
      <c r="G96" s="49" t="s">
        <v>162</v>
      </c>
      <c r="H96" s="48"/>
      <c r="I96" s="49" t="s">
        <v>122</v>
      </c>
      <c r="J96" s="49" t="s">
        <v>82</v>
      </c>
      <c r="K96" s="49">
        <v>130</v>
      </c>
      <c r="L96" s="49">
        <v>200</v>
      </c>
      <c r="M96" s="49" t="s">
        <v>77</v>
      </c>
      <c r="N96" s="49"/>
      <c r="O96" s="48"/>
      <c r="V96" s="48"/>
      <c r="W96" s="49">
        <v>46.26</v>
      </c>
      <c r="X96" s="49" t="s">
        <v>76</v>
      </c>
      <c r="Y96" s="49">
        <v>925.4</v>
      </c>
      <c r="Z96" s="49">
        <v>90.873999999999995</v>
      </c>
      <c r="AA96" s="49"/>
      <c r="AB96" s="87">
        <v>5800</v>
      </c>
      <c r="AC96" s="48">
        <v>300</v>
      </c>
      <c r="AD96" s="49">
        <v>58.56</v>
      </c>
      <c r="AE96" s="49" t="s">
        <v>76</v>
      </c>
      <c r="AF96" s="49">
        <v>-654.92999999999995</v>
      </c>
      <c r="AG96" s="49">
        <v>223.82640000000001</v>
      </c>
      <c r="AJ96" s="87">
        <v>4800</v>
      </c>
      <c r="AK96" s="48">
        <v>300</v>
      </c>
      <c r="AL96" s="87">
        <v>2500</v>
      </c>
      <c r="AM96" s="87">
        <v>2700</v>
      </c>
      <c r="AN96" s="87">
        <v>1800</v>
      </c>
      <c r="AO96" s="48">
        <v>1800</v>
      </c>
      <c r="AP96" s="87">
        <v>2500</v>
      </c>
      <c r="AQ96" s="87">
        <v>2500</v>
      </c>
      <c r="AR96" s="87">
        <v>3000</v>
      </c>
      <c r="AS96" s="87">
        <v>3000</v>
      </c>
      <c r="AT96" s="87">
        <v>3000</v>
      </c>
      <c r="AU96" s="87">
        <v>3000</v>
      </c>
      <c r="AV96" s="87">
        <v>3000</v>
      </c>
      <c r="AW96" s="48">
        <v>3000</v>
      </c>
      <c r="BA96" s="50"/>
      <c r="BE96" s="50"/>
      <c r="BI96" s="48"/>
      <c r="BJ96" s="48"/>
    </row>
    <row r="97" spans="1:62" s="67" customFormat="1" ht="15.75" customHeight="1" x14ac:dyDescent="0.15">
      <c r="A97" s="67">
        <v>2029</v>
      </c>
      <c r="B97" s="68">
        <v>45748</v>
      </c>
      <c r="C97" s="69">
        <v>0.47957175925925927</v>
      </c>
      <c r="D97" s="69">
        <v>0.48314814814814816</v>
      </c>
      <c r="E97" s="70">
        <f t="shared" si="2"/>
        <v>3.5763888888888928E-3</v>
      </c>
      <c r="F97" s="71" t="s">
        <v>83</v>
      </c>
      <c r="G97" s="67" t="s">
        <v>163</v>
      </c>
      <c r="H97" s="71" t="s">
        <v>164</v>
      </c>
      <c r="I97" s="67" t="s">
        <v>122</v>
      </c>
      <c r="J97" s="67" t="s">
        <v>82</v>
      </c>
      <c r="K97" s="67">
        <v>2</v>
      </c>
      <c r="L97" s="67">
        <v>20</v>
      </c>
      <c r="M97" s="67" t="s">
        <v>77</v>
      </c>
      <c r="O97" s="71"/>
      <c r="V97" s="71"/>
      <c r="W97" s="67">
        <v>46.26</v>
      </c>
      <c r="X97" s="67" t="s">
        <v>76</v>
      </c>
      <c r="Y97" s="67">
        <v>925.4</v>
      </c>
      <c r="Z97" s="67">
        <v>90.873999999999995</v>
      </c>
      <c r="AB97" s="67">
        <v>5800</v>
      </c>
      <c r="AC97" s="71">
        <v>300</v>
      </c>
      <c r="AD97" s="67">
        <v>58.56</v>
      </c>
      <c r="AE97" s="67" t="s">
        <v>76</v>
      </c>
      <c r="AF97" s="67">
        <v>-654.92999999999995</v>
      </c>
      <c r="AG97" s="67">
        <v>223.82640000000001</v>
      </c>
      <c r="AJ97" s="67">
        <v>4800</v>
      </c>
      <c r="AK97" s="71">
        <v>300</v>
      </c>
      <c r="AL97" s="67">
        <v>2500</v>
      </c>
      <c r="AM97" s="67">
        <v>2700</v>
      </c>
      <c r="AN97" s="67">
        <v>1800</v>
      </c>
      <c r="AO97" s="71">
        <v>1800</v>
      </c>
      <c r="AP97" s="67">
        <v>2500</v>
      </c>
      <c r="AQ97" s="67">
        <v>2500</v>
      </c>
      <c r="AR97" s="67">
        <v>3000</v>
      </c>
      <c r="AS97" s="67">
        <v>3000</v>
      </c>
      <c r="AT97" s="67">
        <v>3000</v>
      </c>
      <c r="AU97" s="67">
        <v>3000</v>
      </c>
      <c r="AV97" s="67">
        <v>3000</v>
      </c>
      <c r="AW97" s="71">
        <v>3000</v>
      </c>
      <c r="BA97" s="72"/>
      <c r="BE97" s="72"/>
      <c r="BI97" s="71"/>
      <c r="BJ97" s="71"/>
    </row>
    <row r="98" spans="1:62" s="67" customFormat="1" ht="15.75" customHeight="1" x14ac:dyDescent="0.15">
      <c r="A98" s="67">
        <v>2030</v>
      </c>
      <c r="B98" s="68">
        <v>45748</v>
      </c>
      <c r="C98" s="69">
        <v>0.48880787037037038</v>
      </c>
      <c r="D98" s="69">
        <v>0.49488425925925927</v>
      </c>
      <c r="E98" s="70">
        <f t="shared" si="2"/>
        <v>6.0763888888888951E-3</v>
      </c>
      <c r="F98" s="71" t="s">
        <v>83</v>
      </c>
      <c r="G98" s="67" t="s">
        <v>165</v>
      </c>
      <c r="H98" s="71" t="s">
        <v>166</v>
      </c>
      <c r="I98" s="67" t="s">
        <v>122</v>
      </c>
      <c r="J98" s="67" t="s">
        <v>80</v>
      </c>
      <c r="K98" s="67">
        <v>2</v>
      </c>
      <c r="L98" s="67">
        <v>20</v>
      </c>
      <c r="M98" s="67" t="s">
        <v>77</v>
      </c>
      <c r="O98" s="71"/>
      <c r="V98" s="71"/>
      <c r="W98" s="67">
        <v>46.26</v>
      </c>
      <c r="X98" s="67" t="s">
        <v>76</v>
      </c>
      <c r="Y98" s="67">
        <v>925.4</v>
      </c>
      <c r="Z98" s="67">
        <v>90.873999999999995</v>
      </c>
      <c r="AB98" s="67">
        <v>5800</v>
      </c>
      <c r="AC98" s="71">
        <v>300</v>
      </c>
      <c r="AD98" s="67">
        <v>58.56</v>
      </c>
      <c r="AE98" s="67" t="s">
        <v>76</v>
      </c>
      <c r="AF98" s="67">
        <v>-654.92999999999995</v>
      </c>
      <c r="AG98" s="67">
        <v>223.82640000000001</v>
      </c>
      <c r="AJ98" s="67">
        <v>4800</v>
      </c>
      <c r="AK98" s="71">
        <v>300</v>
      </c>
      <c r="AL98" s="67">
        <v>2500</v>
      </c>
      <c r="AM98" s="67">
        <v>2700</v>
      </c>
      <c r="AN98" s="67">
        <v>1800</v>
      </c>
      <c r="AO98" s="71">
        <v>1800</v>
      </c>
      <c r="AP98" s="67">
        <v>2500</v>
      </c>
      <c r="AQ98" s="67">
        <v>2500</v>
      </c>
      <c r="AR98" s="67">
        <v>3000</v>
      </c>
      <c r="AS98" s="67">
        <v>3000</v>
      </c>
      <c r="AT98" s="67">
        <v>3000</v>
      </c>
      <c r="AU98" s="67">
        <v>3000</v>
      </c>
      <c r="AV98" s="67">
        <v>3000</v>
      </c>
      <c r="AW98" s="71">
        <v>3000</v>
      </c>
      <c r="BA98" s="72"/>
      <c r="BE98" s="72"/>
      <c r="BI98" s="71"/>
      <c r="BJ98" s="71"/>
    </row>
    <row r="99" spans="1:62" s="75" customFormat="1" ht="15.75" customHeight="1" x14ac:dyDescent="0.15">
      <c r="A99" s="75">
        <v>2031</v>
      </c>
      <c r="B99" s="76">
        <v>45748</v>
      </c>
      <c r="C99" s="77">
        <v>0.50091435185185185</v>
      </c>
      <c r="D99" s="77">
        <v>0.54266203703703708</v>
      </c>
      <c r="E99" s="78">
        <f t="shared" si="2"/>
        <v>4.1747685185185235E-2</v>
      </c>
      <c r="F99" s="79" t="s">
        <v>74</v>
      </c>
      <c r="G99" s="75" t="s">
        <v>167</v>
      </c>
      <c r="H99" s="79"/>
      <c r="I99" s="75" t="s">
        <v>122</v>
      </c>
      <c r="J99" s="75" t="s">
        <v>82</v>
      </c>
      <c r="K99" s="75">
        <v>100</v>
      </c>
      <c r="L99" s="75">
        <v>200</v>
      </c>
      <c r="M99" s="75" t="s">
        <v>77</v>
      </c>
      <c r="O99" s="79"/>
      <c r="V99" s="79"/>
      <c r="W99" s="75">
        <v>46.26</v>
      </c>
      <c r="X99" s="75" t="s">
        <v>76</v>
      </c>
      <c r="Y99" s="75">
        <v>925.4</v>
      </c>
      <c r="Z99" s="75">
        <v>90.873999999999995</v>
      </c>
      <c r="AB99" s="75">
        <v>5800</v>
      </c>
      <c r="AC99" s="79">
        <v>300</v>
      </c>
      <c r="AD99" s="75">
        <v>58.56</v>
      </c>
      <c r="AE99" s="75" t="s">
        <v>76</v>
      </c>
      <c r="AF99" s="75">
        <v>-654.92999999999995</v>
      </c>
      <c r="AG99" s="75">
        <v>223.82640000000001</v>
      </c>
      <c r="AJ99" s="75">
        <v>4800</v>
      </c>
      <c r="AK99" s="79">
        <v>300</v>
      </c>
      <c r="AL99" s="75">
        <v>2500</v>
      </c>
      <c r="AM99" s="75">
        <v>2700</v>
      </c>
      <c r="AN99" s="75">
        <v>1800</v>
      </c>
      <c r="AO99" s="79">
        <v>1800</v>
      </c>
      <c r="AP99" s="75">
        <v>2500</v>
      </c>
      <c r="AQ99" s="75">
        <v>2500</v>
      </c>
      <c r="AR99" s="75">
        <v>3000</v>
      </c>
      <c r="AS99" s="75">
        <v>3000</v>
      </c>
      <c r="AT99" s="75">
        <v>3000</v>
      </c>
      <c r="AU99" s="75">
        <v>3000</v>
      </c>
      <c r="AV99" s="75">
        <v>3000</v>
      </c>
      <c r="AW99" s="79">
        <v>3000</v>
      </c>
      <c r="BA99" s="80"/>
      <c r="BE99" s="80"/>
      <c r="BI99" s="79"/>
      <c r="BJ99" s="79"/>
    </row>
    <row r="100" spans="1:62" s="75" customFormat="1" ht="15.75" customHeight="1" x14ac:dyDescent="0.15">
      <c r="A100" s="75">
        <v>2032</v>
      </c>
      <c r="B100" s="76">
        <v>45748</v>
      </c>
      <c r="C100" s="77">
        <v>0.54357638888888893</v>
      </c>
      <c r="D100" s="77">
        <v>0.58724537037037039</v>
      </c>
      <c r="E100" s="78">
        <f t="shared" si="2"/>
        <v>4.3668981481481461E-2</v>
      </c>
      <c r="F100" s="79" t="s">
        <v>74</v>
      </c>
      <c r="G100" s="75" t="s">
        <v>167</v>
      </c>
      <c r="H100" s="79"/>
      <c r="I100" s="75" t="s">
        <v>122</v>
      </c>
      <c r="J100" s="75" t="s">
        <v>82</v>
      </c>
      <c r="K100" s="75">
        <v>100</v>
      </c>
      <c r="L100" s="75">
        <v>200</v>
      </c>
      <c r="M100" s="75" t="s">
        <v>77</v>
      </c>
      <c r="O100" s="79"/>
      <c r="V100" s="79"/>
      <c r="W100" s="75">
        <v>46.26</v>
      </c>
      <c r="X100" s="75" t="s">
        <v>76</v>
      </c>
      <c r="Y100" s="75">
        <v>925.4</v>
      </c>
      <c r="Z100" s="75">
        <v>90.873999999999995</v>
      </c>
      <c r="AB100" s="75">
        <v>5800</v>
      </c>
      <c r="AC100" s="79">
        <v>300</v>
      </c>
      <c r="AD100" s="75">
        <v>58.56</v>
      </c>
      <c r="AE100" s="75" t="s">
        <v>76</v>
      </c>
      <c r="AF100" s="75">
        <v>-654.92999999999995</v>
      </c>
      <c r="AG100" s="75">
        <v>223.82640000000001</v>
      </c>
      <c r="AJ100" s="75">
        <v>4800</v>
      </c>
      <c r="AK100" s="79">
        <v>300</v>
      </c>
      <c r="AL100" s="75">
        <v>2500</v>
      </c>
      <c r="AM100" s="75">
        <v>2700</v>
      </c>
      <c r="AN100" s="75">
        <v>1800</v>
      </c>
      <c r="AO100" s="79">
        <v>1800</v>
      </c>
      <c r="AP100" s="75">
        <v>2500</v>
      </c>
      <c r="AQ100" s="75">
        <v>2500</v>
      </c>
      <c r="AR100" s="75">
        <v>3000</v>
      </c>
      <c r="AS100" s="75">
        <v>3000</v>
      </c>
      <c r="AT100" s="75">
        <v>3000</v>
      </c>
      <c r="AU100" s="75">
        <v>3000</v>
      </c>
      <c r="AV100" s="75">
        <v>3000</v>
      </c>
      <c r="AW100" s="79">
        <v>3000</v>
      </c>
      <c r="BA100" s="80"/>
      <c r="BE100" s="80"/>
      <c r="BI100" s="79"/>
      <c r="BJ100" s="79"/>
    </row>
    <row r="101" spans="1:62" ht="15.75" customHeight="1" x14ac:dyDescent="0.15">
      <c r="A101" s="12">
        <v>2033</v>
      </c>
      <c r="B101" s="30">
        <v>45748</v>
      </c>
      <c r="C101" s="14">
        <v>0.5876851851851852</v>
      </c>
      <c r="D101" s="14">
        <v>0.61167824074074073</v>
      </c>
      <c r="E101" s="15">
        <f t="shared" si="2"/>
        <v>2.3993055555555531E-2</v>
      </c>
      <c r="F101" s="16" t="s">
        <v>74</v>
      </c>
      <c r="G101" s="12" t="s">
        <v>188</v>
      </c>
      <c r="H101" s="43" t="s">
        <v>168</v>
      </c>
      <c r="I101" s="12" t="s">
        <v>122</v>
      </c>
      <c r="J101" s="12" t="s">
        <v>82</v>
      </c>
      <c r="K101" s="12">
        <v>100</v>
      </c>
      <c r="L101" s="12">
        <v>200</v>
      </c>
      <c r="M101" s="12" t="s">
        <v>77</v>
      </c>
      <c r="N101" s="12"/>
      <c r="O101" s="16"/>
      <c r="V101" s="16"/>
      <c r="W101" s="12">
        <v>46.26</v>
      </c>
      <c r="X101" s="12" t="s">
        <v>76</v>
      </c>
      <c r="Y101" s="20">
        <v>925.4</v>
      </c>
      <c r="Z101" s="20">
        <v>90.873999999999995</v>
      </c>
      <c r="AB101" s="31">
        <v>5800</v>
      </c>
      <c r="AC101" s="27">
        <v>300</v>
      </c>
      <c r="AD101" s="20">
        <v>58.56</v>
      </c>
      <c r="AE101" s="12" t="s">
        <v>76</v>
      </c>
      <c r="AF101" s="20">
        <v>-654.92999999999995</v>
      </c>
      <c r="AG101" s="20">
        <v>223.82640000000001</v>
      </c>
      <c r="AJ101" s="18">
        <v>4800</v>
      </c>
      <c r="AK101" s="16">
        <v>300</v>
      </c>
      <c r="AL101" s="18">
        <v>2500</v>
      </c>
      <c r="AM101" s="18">
        <v>2700</v>
      </c>
      <c r="AN101" s="18">
        <v>1800</v>
      </c>
      <c r="AO101" s="16">
        <v>1800</v>
      </c>
      <c r="AP101" s="18">
        <v>2500</v>
      </c>
      <c r="AQ101" s="18">
        <v>2500</v>
      </c>
      <c r="AR101" s="18">
        <v>3000</v>
      </c>
      <c r="AS101" s="18">
        <v>3000</v>
      </c>
      <c r="AT101" s="18">
        <v>3000</v>
      </c>
      <c r="AU101" s="18">
        <v>3000</v>
      </c>
      <c r="AV101" s="18">
        <v>3000</v>
      </c>
      <c r="AW101" s="16">
        <v>3000</v>
      </c>
      <c r="BA101" s="17"/>
      <c r="BE101" s="17"/>
      <c r="BI101" s="16"/>
      <c r="BJ101" s="16"/>
    </row>
    <row r="102" spans="1:62" ht="15.75" customHeight="1" x14ac:dyDescent="0.15">
      <c r="A102" s="12">
        <v>2034</v>
      </c>
      <c r="B102" s="30">
        <v>45748</v>
      </c>
      <c r="C102" s="14">
        <v>0.6651273148148148</v>
      </c>
      <c r="D102" s="14">
        <v>0.70561342592592591</v>
      </c>
      <c r="E102" s="15">
        <f t="shared" si="2"/>
        <v>4.0486111111111112E-2</v>
      </c>
      <c r="F102" s="16" t="s">
        <v>74</v>
      </c>
      <c r="G102" s="12" t="s">
        <v>169</v>
      </c>
      <c r="H102" s="16" t="s">
        <v>170</v>
      </c>
      <c r="I102" s="12" t="s">
        <v>137</v>
      </c>
      <c r="J102" s="12" t="s">
        <v>82</v>
      </c>
      <c r="K102" s="12">
        <v>170</v>
      </c>
      <c r="L102" s="12">
        <v>600</v>
      </c>
      <c r="M102" s="12" t="s">
        <v>77</v>
      </c>
      <c r="N102" s="12"/>
      <c r="O102" s="16"/>
      <c r="V102" s="16"/>
      <c r="W102" s="12">
        <v>46.26</v>
      </c>
      <c r="X102" s="12" t="s">
        <v>76</v>
      </c>
      <c r="Y102" s="20">
        <v>925.4</v>
      </c>
      <c r="Z102" s="20">
        <v>90.873999999999995</v>
      </c>
      <c r="AB102" s="31">
        <v>5800</v>
      </c>
      <c r="AC102" s="27">
        <v>300</v>
      </c>
      <c r="AD102" s="20">
        <v>58.56</v>
      </c>
      <c r="AE102" s="12" t="s">
        <v>76</v>
      </c>
      <c r="AF102" s="20">
        <v>-654.92999999999995</v>
      </c>
      <c r="AG102" s="20">
        <v>223.82640000000001</v>
      </c>
      <c r="AJ102" s="18">
        <v>4800</v>
      </c>
      <c r="AK102" s="16">
        <v>300</v>
      </c>
      <c r="AL102" s="18">
        <v>2500</v>
      </c>
      <c r="AM102" s="18">
        <v>2700</v>
      </c>
      <c r="AN102" s="18">
        <v>1800</v>
      </c>
      <c r="AO102" s="16">
        <v>1800</v>
      </c>
      <c r="AP102" s="18">
        <v>2500</v>
      </c>
      <c r="AQ102" s="18">
        <v>2500</v>
      </c>
      <c r="AR102" s="18">
        <v>3000</v>
      </c>
      <c r="AS102" s="18">
        <v>3000</v>
      </c>
      <c r="AT102" s="18">
        <v>3000</v>
      </c>
      <c r="AU102" s="18">
        <v>3000</v>
      </c>
      <c r="AV102" s="18">
        <v>3000</v>
      </c>
      <c r="AW102" s="16">
        <v>3000</v>
      </c>
      <c r="BA102" s="17"/>
      <c r="BE102" s="17"/>
      <c r="BI102" s="16"/>
      <c r="BJ102" s="16"/>
    </row>
    <row r="103" spans="1:62" ht="15.75" customHeight="1" x14ac:dyDescent="0.15">
      <c r="A103" s="12">
        <v>2035</v>
      </c>
      <c r="B103" s="30">
        <v>45748</v>
      </c>
      <c r="C103" s="14">
        <v>0.71444444444444444</v>
      </c>
      <c r="D103" s="14">
        <v>0.76312500000000005</v>
      </c>
      <c r="E103" s="15">
        <f t="shared" si="2"/>
        <v>4.8680555555555616E-2</v>
      </c>
      <c r="F103" s="16" t="s">
        <v>74</v>
      </c>
      <c r="G103" s="12" t="s">
        <v>169</v>
      </c>
      <c r="H103" s="16"/>
      <c r="I103" s="12" t="s">
        <v>137</v>
      </c>
      <c r="J103" s="12" t="s">
        <v>82</v>
      </c>
      <c r="K103" s="12">
        <v>170</v>
      </c>
      <c r="L103" s="12">
        <v>600</v>
      </c>
      <c r="M103" s="12" t="s">
        <v>77</v>
      </c>
      <c r="N103" s="12"/>
      <c r="O103" s="16"/>
      <c r="V103" s="16"/>
      <c r="W103" s="12">
        <v>46.26</v>
      </c>
      <c r="X103" s="12" t="s">
        <v>76</v>
      </c>
      <c r="Y103" s="20">
        <v>925.4</v>
      </c>
      <c r="Z103" s="20">
        <v>90.873999999999995</v>
      </c>
      <c r="AB103" s="31">
        <v>5800</v>
      </c>
      <c r="AC103" s="27">
        <v>300</v>
      </c>
      <c r="AD103" s="20">
        <v>58.56</v>
      </c>
      <c r="AE103" s="12" t="s">
        <v>76</v>
      </c>
      <c r="AF103" s="20">
        <v>-654.92999999999995</v>
      </c>
      <c r="AG103" s="20">
        <v>223.82640000000001</v>
      </c>
      <c r="AJ103" s="18">
        <v>4800</v>
      </c>
      <c r="AK103" s="16">
        <v>300</v>
      </c>
      <c r="AL103" s="18">
        <v>2500</v>
      </c>
      <c r="AM103" s="18">
        <v>2700</v>
      </c>
      <c r="AN103" s="18">
        <v>1800</v>
      </c>
      <c r="AO103" s="16">
        <v>1800</v>
      </c>
      <c r="AP103" s="18">
        <v>2500</v>
      </c>
      <c r="AQ103" s="18">
        <v>2500</v>
      </c>
      <c r="AR103" s="18">
        <v>3000</v>
      </c>
      <c r="AS103" s="18">
        <v>3000</v>
      </c>
      <c r="AT103" s="18">
        <v>3000</v>
      </c>
      <c r="AU103" s="18">
        <v>3000</v>
      </c>
      <c r="AV103" s="18">
        <v>3000</v>
      </c>
      <c r="AW103" s="16">
        <v>3000</v>
      </c>
      <c r="BA103" s="17"/>
      <c r="BE103" s="17"/>
      <c r="BI103" s="16"/>
      <c r="BJ103" s="16"/>
    </row>
    <row r="104" spans="1:62" s="67" customFormat="1" ht="15.75" customHeight="1" x14ac:dyDescent="0.15">
      <c r="A104" s="67">
        <v>2036</v>
      </c>
      <c r="B104" s="68">
        <v>45748</v>
      </c>
      <c r="C104" s="69">
        <v>0.76809027777777783</v>
      </c>
      <c r="D104" s="69">
        <v>0.7769907407407407</v>
      </c>
      <c r="E104" s="70">
        <f t="shared" si="2"/>
        <v>8.900462962962874E-3</v>
      </c>
      <c r="F104" s="71" t="s">
        <v>83</v>
      </c>
      <c r="G104" s="67" t="s">
        <v>171</v>
      </c>
      <c r="H104" s="71" t="s">
        <v>172</v>
      </c>
      <c r="I104" s="67" t="s">
        <v>96</v>
      </c>
      <c r="J104" s="67" t="s">
        <v>82</v>
      </c>
      <c r="K104" s="67">
        <v>2</v>
      </c>
      <c r="L104" s="67">
        <v>20</v>
      </c>
      <c r="M104" s="67" t="s">
        <v>77</v>
      </c>
      <c r="O104" s="71"/>
      <c r="V104" s="71"/>
      <c r="W104" s="67">
        <v>46.26</v>
      </c>
      <c r="X104" s="67" t="s">
        <v>76</v>
      </c>
      <c r="Y104" s="67">
        <v>925.4</v>
      </c>
      <c r="Z104" s="67">
        <v>90.873999999999995</v>
      </c>
      <c r="AB104" s="67">
        <v>5800</v>
      </c>
      <c r="AC104" s="71">
        <v>300</v>
      </c>
      <c r="AD104" s="67">
        <v>58.56</v>
      </c>
      <c r="AE104" s="67" t="s">
        <v>76</v>
      </c>
      <c r="AF104" s="67">
        <v>-654.92999999999995</v>
      </c>
      <c r="AG104" s="67">
        <v>223.82640000000001</v>
      </c>
      <c r="AJ104" s="67">
        <v>4800</v>
      </c>
      <c r="AK104" s="71">
        <v>300</v>
      </c>
      <c r="AL104" s="67">
        <v>2500</v>
      </c>
      <c r="AM104" s="67">
        <v>2700</v>
      </c>
      <c r="AN104" s="67">
        <v>1800</v>
      </c>
      <c r="AO104" s="71">
        <v>1800</v>
      </c>
      <c r="AP104" s="67">
        <v>2500</v>
      </c>
      <c r="AQ104" s="67">
        <v>2500</v>
      </c>
      <c r="AR104" s="67">
        <v>3000</v>
      </c>
      <c r="AS104" s="67">
        <v>3000</v>
      </c>
      <c r="AT104" s="67">
        <v>3000</v>
      </c>
      <c r="AU104" s="67">
        <v>3000</v>
      </c>
      <c r="AV104" s="67">
        <v>3000</v>
      </c>
      <c r="AW104" s="71">
        <v>3000</v>
      </c>
      <c r="BA104" s="72"/>
      <c r="BE104" s="72"/>
      <c r="BI104" s="71"/>
      <c r="BJ104" s="71"/>
    </row>
    <row r="105" spans="1:62" s="67" customFormat="1" ht="15.75" customHeight="1" x14ac:dyDescent="0.15">
      <c r="A105" s="67">
        <v>2037</v>
      </c>
      <c r="B105" s="68">
        <v>45748</v>
      </c>
      <c r="C105" s="69">
        <v>0.78210648148148143</v>
      </c>
      <c r="D105" s="69">
        <v>0.78972222222222221</v>
      </c>
      <c r="E105" s="70">
        <f t="shared" si="2"/>
        <v>7.615740740740784E-3</v>
      </c>
      <c r="F105" s="71" t="s">
        <v>83</v>
      </c>
      <c r="G105" s="67" t="s">
        <v>173</v>
      </c>
      <c r="H105" s="71" t="s">
        <v>174</v>
      </c>
      <c r="I105" s="67" t="s">
        <v>96</v>
      </c>
      <c r="J105" s="67" t="s">
        <v>80</v>
      </c>
      <c r="K105" s="67">
        <v>2</v>
      </c>
      <c r="L105" s="67">
        <v>20</v>
      </c>
      <c r="M105" s="67" t="s">
        <v>77</v>
      </c>
      <c r="O105" s="71"/>
      <c r="V105" s="71"/>
      <c r="W105" s="67">
        <v>46.26</v>
      </c>
      <c r="X105" s="67" t="s">
        <v>76</v>
      </c>
      <c r="Y105" s="67">
        <v>925.4</v>
      </c>
      <c r="Z105" s="67">
        <v>90.873999999999995</v>
      </c>
      <c r="AB105" s="67">
        <v>5800</v>
      </c>
      <c r="AC105" s="71">
        <v>300</v>
      </c>
      <c r="AD105" s="67">
        <v>58.56</v>
      </c>
      <c r="AE105" s="67" t="s">
        <v>76</v>
      </c>
      <c r="AF105" s="67">
        <v>-654.92999999999995</v>
      </c>
      <c r="AG105" s="67">
        <v>223.82640000000001</v>
      </c>
      <c r="AJ105" s="67">
        <v>4800</v>
      </c>
      <c r="AK105" s="71">
        <v>300</v>
      </c>
      <c r="AL105" s="67">
        <v>2500</v>
      </c>
      <c r="AM105" s="67">
        <v>2700</v>
      </c>
      <c r="AN105" s="67">
        <v>1800</v>
      </c>
      <c r="AO105" s="71">
        <v>1800</v>
      </c>
      <c r="AP105" s="67">
        <v>2500</v>
      </c>
      <c r="AQ105" s="67">
        <v>2500</v>
      </c>
      <c r="AR105" s="67">
        <v>3000</v>
      </c>
      <c r="AS105" s="67">
        <v>3000</v>
      </c>
      <c r="AT105" s="67">
        <v>3000</v>
      </c>
      <c r="AU105" s="67">
        <v>3000</v>
      </c>
      <c r="AV105" s="67">
        <v>3000</v>
      </c>
      <c r="AW105" s="71">
        <v>3000</v>
      </c>
      <c r="BA105" s="72"/>
      <c r="BE105" s="72"/>
      <c r="BI105" s="71"/>
      <c r="BJ105" s="71"/>
    </row>
    <row r="106" spans="1:62" ht="15.75" customHeight="1" x14ac:dyDescent="0.15">
      <c r="A106" s="12">
        <v>2038</v>
      </c>
      <c r="B106" s="30">
        <v>45748</v>
      </c>
      <c r="C106" s="14">
        <v>0.79695601851851849</v>
      </c>
      <c r="D106" s="33">
        <v>0.8386689814814815</v>
      </c>
      <c r="E106" s="15">
        <f t="shared" si="2"/>
        <v>4.1712962962963007E-2</v>
      </c>
      <c r="F106" s="16" t="s">
        <v>74</v>
      </c>
      <c r="G106" s="12" t="s">
        <v>175</v>
      </c>
      <c r="H106" s="16"/>
      <c r="I106" s="12" t="s">
        <v>137</v>
      </c>
      <c r="J106" s="12" t="s">
        <v>82</v>
      </c>
      <c r="K106" s="12">
        <v>180</v>
      </c>
      <c r="L106" s="12">
        <v>600</v>
      </c>
      <c r="M106" s="12" t="s">
        <v>77</v>
      </c>
      <c r="N106" s="12"/>
      <c r="O106" s="16"/>
      <c r="V106" s="16"/>
      <c r="W106" s="12">
        <v>46.26</v>
      </c>
      <c r="X106" s="12" t="s">
        <v>76</v>
      </c>
      <c r="Y106" s="20">
        <v>925.4</v>
      </c>
      <c r="Z106" s="20">
        <v>90.873999999999995</v>
      </c>
      <c r="AB106" s="31">
        <v>5800</v>
      </c>
      <c r="AC106" s="27">
        <v>300</v>
      </c>
      <c r="AD106" s="20">
        <v>58.56</v>
      </c>
      <c r="AE106" s="12" t="s">
        <v>76</v>
      </c>
      <c r="AF106" s="20">
        <v>-654.92999999999995</v>
      </c>
      <c r="AG106" s="20">
        <v>223.82640000000001</v>
      </c>
      <c r="AJ106" s="18">
        <v>4800</v>
      </c>
      <c r="AK106" s="16">
        <v>300</v>
      </c>
      <c r="AL106" s="18">
        <v>2500</v>
      </c>
      <c r="AM106" s="18">
        <v>2700</v>
      </c>
      <c r="AN106" s="18">
        <v>1800</v>
      </c>
      <c r="AO106" s="16">
        <v>1800</v>
      </c>
      <c r="AP106" s="18">
        <v>2500</v>
      </c>
      <c r="AQ106" s="18">
        <v>2500</v>
      </c>
      <c r="AR106" s="18">
        <v>3000</v>
      </c>
      <c r="AS106" s="18">
        <v>3000</v>
      </c>
      <c r="AT106" s="18">
        <v>3000</v>
      </c>
      <c r="AU106" s="18">
        <v>3000</v>
      </c>
      <c r="AV106" s="18">
        <v>3000</v>
      </c>
      <c r="AW106" s="16">
        <v>3000</v>
      </c>
      <c r="BA106" s="17"/>
      <c r="BE106" s="17"/>
      <c r="BI106" s="16"/>
      <c r="BJ106" s="16"/>
    </row>
    <row r="107" spans="1:62" ht="15.75" customHeight="1" x14ac:dyDescent="0.15">
      <c r="A107" s="12">
        <v>2039</v>
      </c>
      <c r="B107" s="30">
        <v>45748</v>
      </c>
      <c r="C107" s="33">
        <v>0.83902777777777782</v>
      </c>
      <c r="D107" s="33">
        <v>0.88275462962962958</v>
      </c>
      <c r="E107" s="15">
        <f t="shared" si="2"/>
        <v>4.3726851851851767E-2</v>
      </c>
      <c r="F107" s="16" t="s">
        <v>74</v>
      </c>
      <c r="G107" s="12" t="s">
        <v>175</v>
      </c>
      <c r="H107" s="16"/>
      <c r="I107" s="12" t="s">
        <v>137</v>
      </c>
      <c r="J107" s="12" t="s">
        <v>82</v>
      </c>
      <c r="K107" s="18">
        <v>170</v>
      </c>
      <c r="L107" s="12">
        <v>600</v>
      </c>
      <c r="M107" s="12" t="s">
        <v>77</v>
      </c>
      <c r="O107" s="16"/>
      <c r="V107" s="16"/>
      <c r="W107" s="12">
        <v>46.26</v>
      </c>
      <c r="X107" s="12" t="s">
        <v>76</v>
      </c>
      <c r="Y107" s="20">
        <v>925.4</v>
      </c>
      <c r="Z107" s="20">
        <v>90.873999999999995</v>
      </c>
      <c r="AB107" s="31">
        <v>5800</v>
      </c>
      <c r="AC107" s="27">
        <v>300</v>
      </c>
      <c r="AD107" s="20">
        <v>58.56</v>
      </c>
      <c r="AE107" s="12" t="s">
        <v>76</v>
      </c>
      <c r="AF107" s="20">
        <v>-654.92999999999995</v>
      </c>
      <c r="AG107" s="20">
        <v>223.82640000000001</v>
      </c>
      <c r="AJ107" s="18">
        <v>4800</v>
      </c>
      <c r="AK107" s="16">
        <v>300</v>
      </c>
      <c r="AL107" s="18">
        <v>2500</v>
      </c>
      <c r="AM107" s="18">
        <v>2700</v>
      </c>
      <c r="AN107" s="18">
        <v>1800</v>
      </c>
      <c r="AO107" s="16">
        <v>1800</v>
      </c>
      <c r="AP107" s="18">
        <v>2500</v>
      </c>
      <c r="AQ107" s="18">
        <v>2500</v>
      </c>
      <c r="AR107" s="18">
        <v>3000</v>
      </c>
      <c r="AS107" s="18">
        <v>3000</v>
      </c>
      <c r="AT107" s="18">
        <v>3000</v>
      </c>
      <c r="AU107" s="18">
        <v>3000</v>
      </c>
      <c r="AV107" s="18">
        <v>3000</v>
      </c>
      <c r="AW107" s="16">
        <v>3000</v>
      </c>
      <c r="BA107" s="17"/>
      <c r="BE107" s="17"/>
      <c r="BI107" s="16"/>
      <c r="BJ107" s="16"/>
    </row>
    <row r="108" spans="1:62" ht="15.75" customHeight="1" x14ac:dyDescent="0.15">
      <c r="A108" s="12">
        <v>2040</v>
      </c>
      <c r="B108" s="30">
        <v>45748</v>
      </c>
      <c r="C108" s="33">
        <v>0.8951041666666667</v>
      </c>
      <c r="D108" s="33">
        <v>0.93853009259259257</v>
      </c>
      <c r="E108" s="15">
        <f t="shared" si="2"/>
        <v>4.3425925925925868E-2</v>
      </c>
      <c r="F108" s="16" t="s">
        <v>74</v>
      </c>
      <c r="G108" s="12" t="s">
        <v>176</v>
      </c>
      <c r="H108" s="16"/>
      <c r="I108" s="12" t="s">
        <v>137</v>
      </c>
      <c r="J108" s="12" t="s">
        <v>82</v>
      </c>
      <c r="K108" s="12">
        <v>180</v>
      </c>
      <c r="L108" s="12">
        <v>600</v>
      </c>
      <c r="M108" s="12" t="s">
        <v>77</v>
      </c>
      <c r="N108" s="12"/>
      <c r="O108" s="16"/>
      <c r="V108" s="16"/>
      <c r="W108" s="12">
        <v>46.26</v>
      </c>
      <c r="X108" s="12" t="s">
        <v>76</v>
      </c>
      <c r="Y108" s="20">
        <v>925.4</v>
      </c>
      <c r="Z108" s="20">
        <v>90.873999999999995</v>
      </c>
      <c r="AB108" s="31">
        <v>5800</v>
      </c>
      <c r="AC108" s="27">
        <v>300</v>
      </c>
      <c r="AD108" s="20">
        <v>58.56</v>
      </c>
      <c r="AE108" s="12" t="s">
        <v>76</v>
      </c>
      <c r="AF108" s="20">
        <v>-654.92999999999995</v>
      </c>
      <c r="AG108" s="20">
        <v>223.82640000000001</v>
      </c>
      <c r="AJ108" s="18">
        <v>4800</v>
      </c>
      <c r="AK108" s="16">
        <v>300</v>
      </c>
      <c r="AL108" s="18">
        <v>2500</v>
      </c>
      <c r="AM108" s="18">
        <v>2700</v>
      </c>
      <c r="AN108" s="18">
        <v>1800</v>
      </c>
      <c r="AO108" s="16">
        <v>1800</v>
      </c>
      <c r="AP108" s="18">
        <v>2500</v>
      </c>
      <c r="AQ108" s="18">
        <v>2500</v>
      </c>
      <c r="AR108" s="18">
        <v>3000</v>
      </c>
      <c r="AS108" s="18">
        <v>3000</v>
      </c>
      <c r="AT108" s="18">
        <v>3000</v>
      </c>
      <c r="AU108" s="18">
        <v>3000</v>
      </c>
      <c r="AV108" s="18">
        <v>3000</v>
      </c>
      <c r="AW108" s="16">
        <v>3000</v>
      </c>
      <c r="BA108" s="17"/>
      <c r="BE108" s="17"/>
      <c r="BI108" s="16"/>
      <c r="BJ108" s="16"/>
    </row>
    <row r="109" spans="1:62" ht="15.75" customHeight="1" x14ac:dyDescent="0.15">
      <c r="A109" s="12">
        <v>2041</v>
      </c>
      <c r="B109" s="30">
        <v>45748</v>
      </c>
      <c r="C109" s="14">
        <v>0.93964120370370374</v>
      </c>
      <c r="D109" s="14">
        <v>0.98371527777777779</v>
      </c>
      <c r="E109" s="15">
        <f t="shared" si="2"/>
        <v>4.4074074074074043E-2</v>
      </c>
      <c r="F109" s="16" t="s">
        <v>74</v>
      </c>
      <c r="G109" s="12" t="s">
        <v>175</v>
      </c>
      <c r="H109" s="16"/>
      <c r="I109" s="12" t="s">
        <v>137</v>
      </c>
      <c r="J109" s="12" t="s">
        <v>82</v>
      </c>
      <c r="K109" s="12">
        <v>180</v>
      </c>
      <c r="L109" s="12">
        <v>600</v>
      </c>
      <c r="M109" s="12" t="s">
        <v>77</v>
      </c>
      <c r="N109" s="12"/>
      <c r="O109" s="16"/>
      <c r="V109" s="16"/>
      <c r="W109" s="12">
        <v>46.26</v>
      </c>
      <c r="X109" s="12" t="s">
        <v>76</v>
      </c>
      <c r="Y109" s="20">
        <v>925.4</v>
      </c>
      <c r="Z109" s="20">
        <v>90.873999999999995</v>
      </c>
      <c r="AB109" s="31">
        <v>5800</v>
      </c>
      <c r="AC109" s="27">
        <v>300</v>
      </c>
      <c r="AD109" s="20">
        <v>58.56</v>
      </c>
      <c r="AE109" s="12" t="s">
        <v>76</v>
      </c>
      <c r="AF109" s="20">
        <v>-654.92999999999995</v>
      </c>
      <c r="AG109" s="20">
        <v>223.82640000000001</v>
      </c>
      <c r="AJ109" s="18">
        <v>4800</v>
      </c>
      <c r="AK109" s="16">
        <v>300</v>
      </c>
      <c r="AL109" s="18">
        <v>2500</v>
      </c>
      <c r="AM109" s="18">
        <v>2700</v>
      </c>
      <c r="AN109" s="18">
        <v>1800</v>
      </c>
      <c r="AO109" s="16">
        <v>1800</v>
      </c>
      <c r="AP109" s="18">
        <v>2500</v>
      </c>
      <c r="AQ109" s="18">
        <v>2500</v>
      </c>
      <c r="AR109" s="18">
        <v>3000</v>
      </c>
      <c r="AS109" s="18">
        <v>3000</v>
      </c>
      <c r="AT109" s="18">
        <v>3000</v>
      </c>
      <c r="AU109" s="18">
        <v>3000</v>
      </c>
      <c r="AV109" s="18">
        <v>3000</v>
      </c>
      <c r="AW109" s="16">
        <v>3000</v>
      </c>
      <c r="BA109" s="17"/>
      <c r="BE109" s="17"/>
      <c r="BI109" s="16"/>
      <c r="BJ109" s="16"/>
    </row>
    <row r="110" spans="1:62" ht="15.75" customHeight="1" x14ac:dyDescent="0.15">
      <c r="A110" s="12">
        <v>2042</v>
      </c>
      <c r="B110" s="30">
        <v>45748</v>
      </c>
      <c r="C110" s="14">
        <v>0.98427083333333332</v>
      </c>
      <c r="D110" s="14">
        <v>1.0069444444444444</v>
      </c>
      <c r="E110" s="15">
        <f t="shared" si="2"/>
        <v>2.2673611111111103E-2</v>
      </c>
      <c r="F110" s="16" t="s">
        <v>74</v>
      </c>
      <c r="G110" s="12" t="s">
        <v>175</v>
      </c>
      <c r="H110" s="44" t="s">
        <v>139</v>
      </c>
      <c r="I110" s="12" t="s">
        <v>137</v>
      </c>
      <c r="J110" s="12" t="s">
        <v>82</v>
      </c>
      <c r="K110" s="12">
        <v>180</v>
      </c>
      <c r="L110" s="12">
        <v>600</v>
      </c>
      <c r="M110" s="12" t="s">
        <v>77</v>
      </c>
      <c r="O110" s="16"/>
      <c r="V110" s="16"/>
      <c r="W110" s="12">
        <v>46.26</v>
      </c>
      <c r="X110" s="12" t="s">
        <v>76</v>
      </c>
      <c r="Y110" s="20">
        <v>925.4</v>
      </c>
      <c r="Z110" s="20">
        <v>90.873999999999995</v>
      </c>
      <c r="AB110" s="31">
        <v>5800</v>
      </c>
      <c r="AC110" s="27">
        <v>300</v>
      </c>
      <c r="AD110" s="20">
        <v>58.56</v>
      </c>
      <c r="AE110" s="12" t="s">
        <v>76</v>
      </c>
      <c r="AF110" s="20">
        <v>-654.92999999999995</v>
      </c>
      <c r="AG110" s="20">
        <v>223.82640000000001</v>
      </c>
      <c r="AJ110" s="18">
        <v>4800</v>
      </c>
      <c r="AK110" s="16">
        <v>300</v>
      </c>
      <c r="AL110" s="18">
        <v>2500</v>
      </c>
      <c r="AM110" s="18">
        <v>2700</v>
      </c>
      <c r="AN110" s="18">
        <v>1800</v>
      </c>
      <c r="AO110" s="16">
        <v>1800</v>
      </c>
      <c r="AP110" s="18">
        <v>2500</v>
      </c>
      <c r="AQ110" s="18">
        <v>2500</v>
      </c>
      <c r="AR110" s="18">
        <v>3000</v>
      </c>
      <c r="AS110" s="18">
        <v>3000</v>
      </c>
      <c r="AT110" s="18">
        <v>3000</v>
      </c>
      <c r="AU110" s="18">
        <v>3000</v>
      </c>
      <c r="AV110" s="18">
        <v>3000</v>
      </c>
      <c r="AW110" s="16">
        <v>3000</v>
      </c>
      <c r="BA110" s="17"/>
      <c r="BE110" s="17"/>
      <c r="BI110" s="16"/>
      <c r="BJ110" s="16"/>
    </row>
    <row r="111" spans="1:62" ht="15.75" customHeight="1" x14ac:dyDescent="0.15">
      <c r="A111" s="12">
        <v>2043</v>
      </c>
      <c r="B111" s="30">
        <v>45749</v>
      </c>
      <c r="C111" s="14">
        <v>8.86574074074074E-3</v>
      </c>
      <c r="D111" s="14">
        <v>5.0324074074074077E-2</v>
      </c>
      <c r="E111" s="15">
        <f t="shared" si="2"/>
        <v>4.1458333333333333E-2</v>
      </c>
      <c r="F111" s="16" t="s">
        <v>74</v>
      </c>
      <c r="G111" s="12" t="s">
        <v>175</v>
      </c>
      <c r="H111" s="16"/>
      <c r="I111" s="12" t="s">
        <v>137</v>
      </c>
      <c r="J111" s="12" t="s">
        <v>82</v>
      </c>
      <c r="K111" s="12">
        <v>180</v>
      </c>
      <c r="L111" s="12">
        <v>600</v>
      </c>
      <c r="M111" s="12" t="s">
        <v>77</v>
      </c>
      <c r="N111" s="12"/>
      <c r="O111" s="16"/>
      <c r="P111" s="12"/>
      <c r="Q111" s="12"/>
      <c r="R111" s="12"/>
      <c r="S111" s="12"/>
      <c r="T111" s="12"/>
      <c r="U111" s="12"/>
      <c r="V111" s="16"/>
      <c r="W111" s="12">
        <v>46.26</v>
      </c>
      <c r="X111" s="12" t="s">
        <v>76</v>
      </c>
      <c r="Y111" s="20">
        <v>925.4</v>
      </c>
      <c r="Z111" s="20">
        <v>90.873999999999995</v>
      </c>
      <c r="AB111" s="31">
        <v>5800</v>
      </c>
      <c r="AC111" s="27">
        <v>300</v>
      </c>
      <c r="AD111" s="20">
        <v>58.56</v>
      </c>
      <c r="AE111" s="12" t="s">
        <v>76</v>
      </c>
      <c r="AF111" s="20">
        <v>-654.92999999999995</v>
      </c>
      <c r="AG111" s="20">
        <v>223.82640000000001</v>
      </c>
      <c r="AH111" s="12"/>
      <c r="AI111" s="12"/>
      <c r="AJ111" s="18">
        <v>4800</v>
      </c>
      <c r="AK111" s="16">
        <v>300</v>
      </c>
      <c r="AL111" s="18">
        <v>2500</v>
      </c>
      <c r="AM111" s="18">
        <v>2700</v>
      </c>
      <c r="AN111" s="18">
        <v>1800</v>
      </c>
      <c r="AO111" s="16">
        <v>1800</v>
      </c>
      <c r="AP111" s="18">
        <v>2500</v>
      </c>
      <c r="AQ111" s="18">
        <v>2500</v>
      </c>
      <c r="AR111" s="18">
        <v>3000</v>
      </c>
      <c r="AS111" s="18">
        <v>3000</v>
      </c>
      <c r="AT111" s="18">
        <v>3000</v>
      </c>
      <c r="AU111" s="18">
        <v>3000</v>
      </c>
      <c r="AV111" s="18">
        <v>3000</v>
      </c>
      <c r="AW111" s="16">
        <v>3000</v>
      </c>
      <c r="AX111" s="12"/>
      <c r="AY111" s="12"/>
      <c r="AZ111" s="12"/>
      <c r="BA111" s="17"/>
      <c r="BB111" s="12"/>
      <c r="BC111" s="12"/>
      <c r="BD111" s="12"/>
      <c r="BE111" s="17"/>
      <c r="BF111" s="12"/>
      <c r="BG111" s="12"/>
      <c r="BH111" s="12"/>
      <c r="BI111" s="16"/>
      <c r="BJ111" s="16"/>
    </row>
    <row r="112" spans="1:62" ht="15.75" customHeight="1" x14ac:dyDescent="0.15">
      <c r="A112" s="12">
        <v>2044</v>
      </c>
      <c r="B112" s="30">
        <v>45749</v>
      </c>
      <c r="C112" s="14">
        <v>5.1944444444444446E-2</v>
      </c>
      <c r="D112" s="14">
        <v>9.3819444444444441E-2</v>
      </c>
      <c r="E112" s="15">
        <f t="shared" si="2"/>
        <v>4.1874999999999996E-2</v>
      </c>
      <c r="F112" s="16" t="s">
        <v>74</v>
      </c>
      <c r="G112" s="12" t="s">
        <v>175</v>
      </c>
      <c r="H112" s="16"/>
      <c r="I112" s="12" t="s">
        <v>137</v>
      </c>
      <c r="J112" s="12" t="s">
        <v>82</v>
      </c>
      <c r="K112" s="12">
        <v>180</v>
      </c>
      <c r="L112" s="12">
        <v>600</v>
      </c>
      <c r="M112" s="12" t="s">
        <v>77</v>
      </c>
      <c r="N112" s="12"/>
      <c r="O112" s="16"/>
      <c r="P112" s="12"/>
      <c r="Q112" s="12"/>
      <c r="R112" s="12"/>
      <c r="S112" s="12"/>
      <c r="T112" s="12"/>
      <c r="U112" s="12"/>
      <c r="V112" s="16"/>
      <c r="W112" s="12">
        <v>46.26</v>
      </c>
      <c r="X112" s="12" t="s">
        <v>76</v>
      </c>
      <c r="Y112" s="20">
        <v>925.4</v>
      </c>
      <c r="Z112" s="20">
        <v>90.873999999999995</v>
      </c>
      <c r="AB112" s="31">
        <v>5800</v>
      </c>
      <c r="AC112" s="27">
        <v>300</v>
      </c>
      <c r="AD112" s="20">
        <v>58.56</v>
      </c>
      <c r="AE112" s="12" t="s">
        <v>76</v>
      </c>
      <c r="AF112" s="20">
        <v>-654.92999999999995</v>
      </c>
      <c r="AG112" s="20">
        <v>223.82640000000001</v>
      </c>
      <c r="AH112" s="12"/>
      <c r="AI112" s="12"/>
      <c r="AJ112" s="18">
        <v>4800</v>
      </c>
      <c r="AK112" s="16">
        <v>300</v>
      </c>
      <c r="AL112" s="18">
        <v>2500</v>
      </c>
      <c r="AM112" s="18">
        <v>2700</v>
      </c>
      <c r="AN112" s="18">
        <v>1800</v>
      </c>
      <c r="AO112" s="16">
        <v>1800</v>
      </c>
      <c r="AP112" s="18">
        <v>2500</v>
      </c>
      <c r="AQ112" s="18">
        <v>2500</v>
      </c>
      <c r="AR112" s="18">
        <v>3000</v>
      </c>
      <c r="AS112" s="18">
        <v>3000</v>
      </c>
      <c r="AT112" s="18">
        <v>3000</v>
      </c>
      <c r="AU112" s="18">
        <v>3000</v>
      </c>
      <c r="AV112" s="18">
        <v>3000</v>
      </c>
      <c r="AW112" s="16">
        <v>3000</v>
      </c>
      <c r="AX112" s="12"/>
      <c r="AY112" s="12"/>
      <c r="AZ112" s="12"/>
      <c r="BA112" s="17"/>
      <c r="BB112" s="12"/>
      <c r="BC112" s="12"/>
      <c r="BD112" s="12"/>
      <c r="BE112" s="17"/>
      <c r="BF112" s="12"/>
      <c r="BG112" s="12"/>
      <c r="BH112" s="12"/>
      <c r="BI112" s="16"/>
      <c r="BJ112" s="16"/>
    </row>
    <row r="113" spans="1:64" ht="15.75" customHeight="1" x14ac:dyDescent="0.15">
      <c r="A113" s="12">
        <v>2045</v>
      </c>
      <c r="B113" s="30">
        <v>45749</v>
      </c>
      <c r="C113" s="14">
        <v>9.4155092592592596E-2</v>
      </c>
      <c r="D113" s="14">
        <v>0.13520833333333335</v>
      </c>
      <c r="E113" s="15">
        <f t="shared" si="2"/>
        <v>4.1053240740740751E-2</v>
      </c>
      <c r="F113" s="16" t="s">
        <v>74</v>
      </c>
      <c r="G113" s="12" t="s">
        <v>175</v>
      </c>
      <c r="H113" s="16"/>
      <c r="I113" s="12" t="s">
        <v>137</v>
      </c>
      <c r="J113" s="12" t="s">
        <v>82</v>
      </c>
      <c r="K113" s="12">
        <v>180</v>
      </c>
      <c r="L113" s="12">
        <v>600</v>
      </c>
      <c r="M113" s="12" t="s">
        <v>77</v>
      </c>
      <c r="N113" s="12"/>
      <c r="O113" s="16"/>
      <c r="P113" s="12"/>
      <c r="Q113" s="12"/>
      <c r="R113" s="12"/>
      <c r="S113" s="12"/>
      <c r="T113" s="12"/>
      <c r="U113" s="12"/>
      <c r="V113" s="16"/>
      <c r="W113" s="12">
        <v>46.26</v>
      </c>
      <c r="X113" s="12" t="s">
        <v>76</v>
      </c>
      <c r="Y113" s="20">
        <v>925.4</v>
      </c>
      <c r="Z113" s="20">
        <v>90.873999999999995</v>
      </c>
      <c r="AB113" s="31">
        <v>5800</v>
      </c>
      <c r="AC113" s="27">
        <v>300</v>
      </c>
      <c r="AD113" s="20">
        <v>58.56</v>
      </c>
      <c r="AE113" s="12" t="s">
        <v>76</v>
      </c>
      <c r="AF113" s="20">
        <v>-654.92999999999995</v>
      </c>
      <c r="AG113" s="20">
        <v>223.82640000000001</v>
      </c>
      <c r="AH113" s="12"/>
      <c r="AI113" s="12"/>
      <c r="AJ113" s="18">
        <v>4800</v>
      </c>
      <c r="AK113" s="16">
        <v>300</v>
      </c>
      <c r="AL113" s="18">
        <v>2500</v>
      </c>
      <c r="AM113" s="18">
        <v>2700</v>
      </c>
      <c r="AN113" s="18">
        <v>1800</v>
      </c>
      <c r="AO113" s="16">
        <v>1800</v>
      </c>
      <c r="AP113" s="18">
        <v>2500</v>
      </c>
      <c r="AQ113" s="18">
        <v>2500</v>
      </c>
      <c r="AR113" s="18">
        <v>3000</v>
      </c>
      <c r="AS113" s="18">
        <v>3000</v>
      </c>
      <c r="AT113" s="18">
        <v>3000</v>
      </c>
      <c r="AU113" s="18">
        <v>3000</v>
      </c>
      <c r="AV113" s="18">
        <v>3000</v>
      </c>
      <c r="AW113" s="16">
        <v>3000</v>
      </c>
      <c r="AX113" s="12"/>
      <c r="AY113" s="12"/>
      <c r="AZ113" s="12"/>
      <c r="BA113" s="17"/>
      <c r="BB113" s="12"/>
      <c r="BC113" s="12"/>
      <c r="BD113" s="12"/>
      <c r="BE113" s="17"/>
      <c r="BF113" s="12"/>
      <c r="BG113" s="12"/>
      <c r="BH113" s="12"/>
      <c r="BI113" s="16"/>
      <c r="BJ113" s="16"/>
    </row>
    <row r="114" spans="1:64" ht="15.75" customHeight="1" x14ac:dyDescent="0.15">
      <c r="A114" s="12">
        <v>2046</v>
      </c>
      <c r="B114" s="30">
        <v>45749</v>
      </c>
      <c r="C114" s="14">
        <v>0.14011574074074074</v>
      </c>
      <c r="D114" s="14">
        <v>0.18402777777777779</v>
      </c>
      <c r="E114" s="15">
        <f t="shared" si="2"/>
        <v>4.3912037037037055E-2</v>
      </c>
      <c r="F114" s="16" t="s">
        <v>74</v>
      </c>
      <c r="G114" s="12" t="s">
        <v>175</v>
      </c>
      <c r="H114" s="16"/>
      <c r="I114" s="12" t="s">
        <v>137</v>
      </c>
      <c r="J114" s="12" t="s">
        <v>82</v>
      </c>
      <c r="K114" s="12">
        <v>180</v>
      </c>
      <c r="L114" s="12">
        <v>600</v>
      </c>
      <c r="M114" s="12" t="s">
        <v>77</v>
      </c>
      <c r="O114" s="16"/>
      <c r="V114" s="16"/>
      <c r="W114" s="12">
        <v>46.26</v>
      </c>
      <c r="X114" s="12" t="s">
        <v>76</v>
      </c>
      <c r="Y114" s="20">
        <v>925.4</v>
      </c>
      <c r="Z114" s="20">
        <v>90.873999999999995</v>
      </c>
      <c r="AB114" s="31">
        <v>5800</v>
      </c>
      <c r="AC114" s="27">
        <v>300</v>
      </c>
      <c r="AD114" s="20">
        <v>58.56</v>
      </c>
      <c r="AE114" s="12" t="s">
        <v>76</v>
      </c>
      <c r="AF114" s="20">
        <v>-654.92999999999995</v>
      </c>
      <c r="AG114" s="20">
        <v>223.82640000000001</v>
      </c>
      <c r="AJ114" s="18">
        <v>4800</v>
      </c>
      <c r="AK114" s="16">
        <v>300</v>
      </c>
      <c r="AL114" s="18">
        <v>2500</v>
      </c>
      <c r="AM114" s="18">
        <v>2700</v>
      </c>
      <c r="AN114" s="18">
        <v>1800</v>
      </c>
      <c r="AO114" s="16">
        <v>1800</v>
      </c>
      <c r="AP114" s="18">
        <v>2500</v>
      </c>
      <c r="AQ114" s="18">
        <v>2500</v>
      </c>
      <c r="AR114" s="18">
        <v>3000</v>
      </c>
      <c r="AS114" s="18">
        <v>3000</v>
      </c>
      <c r="AT114" s="18">
        <v>3000</v>
      </c>
      <c r="AU114" s="18">
        <v>3000</v>
      </c>
      <c r="AV114" s="18">
        <v>3000</v>
      </c>
      <c r="AW114" s="16">
        <v>3000</v>
      </c>
      <c r="BA114" s="17"/>
      <c r="BE114" s="17"/>
      <c r="BI114" s="16"/>
      <c r="BJ114" s="16"/>
    </row>
    <row r="115" spans="1:64" ht="15.75" customHeight="1" x14ac:dyDescent="0.15">
      <c r="A115" s="12">
        <v>2047</v>
      </c>
      <c r="B115" s="30">
        <v>45749</v>
      </c>
      <c r="C115" s="14">
        <v>0.18425925925925926</v>
      </c>
      <c r="D115" s="14">
        <v>0.20281250000000001</v>
      </c>
      <c r="E115" s="15">
        <f t="shared" si="2"/>
        <v>1.8553240740740745E-2</v>
      </c>
      <c r="F115" s="16" t="s">
        <v>74</v>
      </c>
      <c r="G115" s="12" t="s">
        <v>175</v>
      </c>
      <c r="H115" s="16" t="s">
        <v>177</v>
      </c>
      <c r="I115" s="12" t="s">
        <v>137</v>
      </c>
      <c r="J115" s="12" t="s">
        <v>82</v>
      </c>
      <c r="K115" s="12">
        <v>180</v>
      </c>
      <c r="L115" s="12">
        <v>600</v>
      </c>
      <c r="M115" s="12" t="s">
        <v>77</v>
      </c>
      <c r="O115" s="16"/>
      <c r="V115" s="16"/>
      <c r="W115" s="12">
        <v>46.26</v>
      </c>
      <c r="X115" s="12" t="s">
        <v>76</v>
      </c>
      <c r="Y115" s="20">
        <v>925.4</v>
      </c>
      <c r="Z115" s="20">
        <v>90.873999999999995</v>
      </c>
      <c r="AB115" s="31">
        <v>5800</v>
      </c>
      <c r="AC115" s="27">
        <v>300</v>
      </c>
      <c r="AD115" s="20">
        <v>58.56</v>
      </c>
      <c r="AE115" s="12" t="s">
        <v>76</v>
      </c>
      <c r="AF115" s="20">
        <v>-654.92999999999995</v>
      </c>
      <c r="AG115" s="20">
        <v>223.82640000000001</v>
      </c>
      <c r="AJ115" s="18">
        <v>4800</v>
      </c>
      <c r="AK115" s="16">
        <v>300</v>
      </c>
      <c r="AL115" s="18">
        <v>2500</v>
      </c>
      <c r="AM115" s="18">
        <v>2700</v>
      </c>
      <c r="AN115" s="18">
        <v>1800</v>
      </c>
      <c r="AO115" s="16">
        <v>1800</v>
      </c>
      <c r="AP115" s="18">
        <v>2500</v>
      </c>
      <c r="AQ115" s="18">
        <v>2500</v>
      </c>
      <c r="AR115" s="18">
        <v>3000</v>
      </c>
      <c r="AS115" s="18">
        <v>3000</v>
      </c>
      <c r="AT115" s="18">
        <v>3000</v>
      </c>
      <c r="AU115" s="18">
        <v>3000</v>
      </c>
      <c r="AV115" s="18">
        <v>3000</v>
      </c>
      <c r="AW115" s="16">
        <v>3000</v>
      </c>
      <c r="AX115" s="12"/>
      <c r="AY115" s="12"/>
      <c r="AZ115" s="12"/>
      <c r="BA115" s="17"/>
      <c r="BB115" s="12"/>
      <c r="BC115" s="12"/>
      <c r="BD115" s="12"/>
      <c r="BE115" s="17"/>
      <c r="BI115" s="16"/>
      <c r="BJ115" s="16"/>
    </row>
    <row r="116" spans="1:64" ht="15.75" customHeight="1" x14ac:dyDescent="0.15">
      <c r="A116" s="12">
        <v>2048</v>
      </c>
      <c r="B116" s="30">
        <v>45749</v>
      </c>
      <c r="C116" s="14">
        <v>0.22336805555555556</v>
      </c>
      <c r="D116" s="14">
        <v>0.26407407407407407</v>
      </c>
      <c r="E116" s="15">
        <f t="shared" si="2"/>
        <v>4.0706018518518516E-2</v>
      </c>
      <c r="F116" s="16" t="s">
        <v>74</v>
      </c>
      <c r="G116" s="12" t="s">
        <v>175</v>
      </c>
      <c r="H116" s="16"/>
      <c r="I116" s="12" t="s">
        <v>137</v>
      </c>
      <c r="J116" s="12" t="s">
        <v>82</v>
      </c>
      <c r="K116" s="12">
        <v>180</v>
      </c>
      <c r="L116" s="12">
        <v>600</v>
      </c>
      <c r="M116" s="12" t="s">
        <v>77</v>
      </c>
      <c r="O116" s="16"/>
      <c r="V116" s="16"/>
      <c r="W116" s="12">
        <v>46.26</v>
      </c>
      <c r="X116" s="12" t="s">
        <v>76</v>
      </c>
      <c r="Y116" s="20">
        <v>925.4</v>
      </c>
      <c r="Z116" s="20">
        <v>90.873999999999995</v>
      </c>
      <c r="AB116" s="31">
        <v>5800</v>
      </c>
      <c r="AC116" s="27">
        <v>300</v>
      </c>
      <c r="AD116" s="20">
        <v>58.56</v>
      </c>
      <c r="AE116" s="12" t="s">
        <v>76</v>
      </c>
      <c r="AF116" s="20">
        <v>-654.92999999999995</v>
      </c>
      <c r="AG116" s="20">
        <v>223.82640000000001</v>
      </c>
      <c r="AJ116" s="18">
        <v>4800</v>
      </c>
      <c r="AK116" s="16">
        <v>300</v>
      </c>
      <c r="AL116" s="18">
        <v>2500</v>
      </c>
      <c r="AM116" s="18">
        <v>2700</v>
      </c>
      <c r="AN116" s="18">
        <v>1800</v>
      </c>
      <c r="AO116" s="16">
        <v>1800</v>
      </c>
      <c r="AP116" s="18">
        <v>2500</v>
      </c>
      <c r="AQ116" s="18">
        <v>2500</v>
      </c>
      <c r="AR116" s="18">
        <v>3000</v>
      </c>
      <c r="AS116" s="18">
        <v>3000</v>
      </c>
      <c r="AT116" s="18">
        <v>3000</v>
      </c>
      <c r="AU116" s="18">
        <v>3000</v>
      </c>
      <c r="AV116" s="18">
        <v>3000</v>
      </c>
      <c r="AW116" s="16">
        <v>3000</v>
      </c>
      <c r="AX116" s="12"/>
      <c r="AY116" s="12"/>
      <c r="AZ116" s="12"/>
      <c r="BA116" s="17"/>
      <c r="BB116" s="12"/>
      <c r="BC116" s="12"/>
      <c r="BD116" s="12"/>
      <c r="BE116" s="17"/>
      <c r="BF116" s="12"/>
      <c r="BG116" s="12"/>
      <c r="BH116" s="12"/>
      <c r="BI116" s="16"/>
      <c r="BJ116" s="16"/>
      <c r="BK116" s="12"/>
    </row>
    <row r="117" spans="1:64" ht="15.75" customHeight="1" x14ac:dyDescent="0.15">
      <c r="A117" s="12">
        <v>2049</v>
      </c>
      <c r="B117" s="30">
        <v>45749</v>
      </c>
      <c r="C117" s="14">
        <v>0.2653240740740741</v>
      </c>
      <c r="D117" s="14">
        <v>0.30707175925925928</v>
      </c>
      <c r="E117" s="15">
        <f t="shared" si="2"/>
        <v>4.1747685185185179E-2</v>
      </c>
      <c r="F117" s="16" t="s">
        <v>74</v>
      </c>
      <c r="G117" s="12" t="s">
        <v>175</v>
      </c>
      <c r="H117" s="16"/>
      <c r="I117" s="12" t="s">
        <v>137</v>
      </c>
      <c r="J117" s="12" t="s">
        <v>82</v>
      </c>
      <c r="K117" s="12">
        <v>180</v>
      </c>
      <c r="L117" s="12">
        <v>600</v>
      </c>
      <c r="M117" s="12" t="s">
        <v>77</v>
      </c>
      <c r="O117" s="16"/>
      <c r="V117" s="16"/>
      <c r="W117" s="12">
        <v>46.26</v>
      </c>
      <c r="X117" s="12" t="s">
        <v>76</v>
      </c>
      <c r="Y117" s="20">
        <v>925.4</v>
      </c>
      <c r="Z117" s="20">
        <v>90.873999999999995</v>
      </c>
      <c r="AB117" s="31">
        <v>5800</v>
      </c>
      <c r="AC117" s="27">
        <v>300</v>
      </c>
      <c r="AD117" s="20">
        <v>58.56</v>
      </c>
      <c r="AE117" s="12" t="s">
        <v>76</v>
      </c>
      <c r="AF117" s="20">
        <v>-654.92999999999995</v>
      </c>
      <c r="AG117" s="20">
        <v>223.82640000000001</v>
      </c>
      <c r="AJ117" s="18">
        <v>4800</v>
      </c>
      <c r="AK117" s="16">
        <v>300</v>
      </c>
      <c r="AL117" s="18">
        <v>2500</v>
      </c>
      <c r="AM117" s="18">
        <v>2700</v>
      </c>
      <c r="AN117" s="18">
        <v>1800</v>
      </c>
      <c r="AO117" s="16">
        <v>1800</v>
      </c>
      <c r="AP117" s="18">
        <v>2500</v>
      </c>
      <c r="AQ117" s="18">
        <v>2500</v>
      </c>
      <c r="AR117" s="18">
        <v>3000</v>
      </c>
      <c r="AS117" s="18">
        <v>3000</v>
      </c>
      <c r="AT117" s="18">
        <v>3000</v>
      </c>
      <c r="AU117" s="18">
        <v>3000</v>
      </c>
      <c r="AV117" s="18">
        <v>3000</v>
      </c>
      <c r="AW117" s="16">
        <v>3000</v>
      </c>
      <c r="AX117" s="12"/>
      <c r="AY117" s="12"/>
      <c r="AZ117" s="12"/>
      <c r="BA117" s="17"/>
      <c r="BB117" s="12"/>
      <c r="BC117" s="12"/>
      <c r="BD117" s="12"/>
      <c r="BE117" s="17"/>
      <c r="BF117" s="12"/>
      <c r="BG117" s="12"/>
      <c r="BH117" s="12"/>
      <c r="BI117" s="16"/>
      <c r="BJ117" s="16"/>
    </row>
    <row r="118" spans="1:64" ht="15.75" customHeight="1" x14ac:dyDescent="0.15">
      <c r="A118" s="12">
        <v>2050</v>
      </c>
      <c r="B118" s="30">
        <v>45749</v>
      </c>
      <c r="C118" s="14">
        <v>0.3074189814814815</v>
      </c>
      <c r="D118" s="14">
        <v>0.35381944444444446</v>
      </c>
      <c r="E118" s="15">
        <f t="shared" si="2"/>
        <v>4.6400462962962963E-2</v>
      </c>
      <c r="F118" s="16" t="s">
        <v>74</v>
      </c>
      <c r="G118" s="12" t="s">
        <v>175</v>
      </c>
      <c r="H118" s="16"/>
      <c r="I118" s="12" t="s">
        <v>137</v>
      </c>
      <c r="J118" s="12" t="s">
        <v>82</v>
      </c>
      <c r="K118" s="12">
        <v>180</v>
      </c>
      <c r="L118" s="12">
        <v>600</v>
      </c>
      <c r="M118" s="12" t="s">
        <v>77</v>
      </c>
      <c r="N118" s="12"/>
      <c r="O118" s="16"/>
      <c r="P118" s="12"/>
      <c r="Q118" s="12"/>
      <c r="R118" s="12"/>
      <c r="S118" s="12"/>
      <c r="T118" s="12"/>
      <c r="U118" s="12"/>
      <c r="V118" s="16"/>
      <c r="W118" s="12">
        <v>46.26</v>
      </c>
      <c r="X118" s="12" t="s">
        <v>76</v>
      </c>
      <c r="Y118" s="20">
        <v>925.4</v>
      </c>
      <c r="Z118" s="20">
        <v>90.873999999999995</v>
      </c>
      <c r="AB118" s="31">
        <v>5800</v>
      </c>
      <c r="AC118" s="27">
        <v>300</v>
      </c>
      <c r="AD118" s="20">
        <v>58.56</v>
      </c>
      <c r="AE118" s="12" t="s">
        <v>76</v>
      </c>
      <c r="AF118" s="20">
        <v>-654.92999999999995</v>
      </c>
      <c r="AG118" s="20">
        <v>223.82640000000001</v>
      </c>
      <c r="AJ118" s="18">
        <v>4800</v>
      </c>
      <c r="AK118" s="16">
        <v>300</v>
      </c>
      <c r="AL118" s="18">
        <v>2500</v>
      </c>
      <c r="AM118" s="18">
        <v>2700</v>
      </c>
      <c r="AN118" s="18">
        <v>1800</v>
      </c>
      <c r="AO118" s="16">
        <v>1800</v>
      </c>
      <c r="AP118" s="18">
        <v>2500</v>
      </c>
      <c r="AQ118" s="18">
        <v>2500</v>
      </c>
      <c r="AR118" s="18">
        <v>3000</v>
      </c>
      <c r="AS118" s="18">
        <v>3000</v>
      </c>
      <c r="AT118" s="18">
        <v>3000</v>
      </c>
      <c r="AU118" s="18">
        <v>3000</v>
      </c>
      <c r="AV118" s="18">
        <v>3000</v>
      </c>
      <c r="AW118" s="16">
        <v>3000</v>
      </c>
      <c r="AX118" s="12"/>
      <c r="AY118" s="12"/>
      <c r="AZ118" s="12"/>
      <c r="BA118" s="17"/>
      <c r="BB118" s="12"/>
      <c r="BC118" s="12"/>
      <c r="BD118" s="12"/>
      <c r="BE118" s="17"/>
      <c r="BF118" s="12"/>
      <c r="BG118" s="12"/>
      <c r="BH118" s="12"/>
      <c r="BI118" s="16"/>
      <c r="BJ118" s="16"/>
    </row>
    <row r="119" spans="1:64" ht="15.75" customHeight="1" x14ac:dyDescent="0.15">
      <c r="A119" s="12">
        <v>2051</v>
      </c>
      <c r="B119" s="30">
        <v>45749</v>
      </c>
      <c r="C119" s="14">
        <v>0.35605324074074074</v>
      </c>
      <c r="D119" s="14">
        <v>0.39775462962962965</v>
      </c>
      <c r="E119" s="15">
        <f t="shared" si="2"/>
        <v>4.1701388888888913E-2</v>
      </c>
      <c r="F119" s="16" t="s">
        <v>74</v>
      </c>
      <c r="G119" s="12" t="s">
        <v>175</v>
      </c>
      <c r="H119" s="16"/>
      <c r="I119" s="12" t="s">
        <v>137</v>
      </c>
      <c r="J119" s="12" t="s">
        <v>82</v>
      </c>
      <c r="K119" s="12">
        <v>180</v>
      </c>
      <c r="L119" s="12">
        <v>600</v>
      </c>
      <c r="M119" s="12" t="s">
        <v>77</v>
      </c>
      <c r="N119" s="12"/>
      <c r="O119" s="16"/>
      <c r="P119" s="12"/>
      <c r="Q119" s="12"/>
      <c r="R119" s="12"/>
      <c r="S119" s="12"/>
      <c r="T119" s="12"/>
      <c r="U119" s="12"/>
      <c r="V119" s="16"/>
      <c r="W119" s="12">
        <v>46.26</v>
      </c>
      <c r="X119" s="12" t="s">
        <v>76</v>
      </c>
      <c r="Y119" s="20">
        <v>925.4</v>
      </c>
      <c r="Z119" s="20">
        <v>90.873999999999995</v>
      </c>
      <c r="AB119" s="31">
        <v>5800</v>
      </c>
      <c r="AC119" s="27">
        <v>300</v>
      </c>
      <c r="AD119" s="20">
        <v>58.56</v>
      </c>
      <c r="AE119" s="12" t="s">
        <v>76</v>
      </c>
      <c r="AF119" s="20">
        <v>-654.92999999999995</v>
      </c>
      <c r="AG119" s="20">
        <v>223.82640000000001</v>
      </c>
      <c r="AJ119" s="18">
        <v>4800</v>
      </c>
      <c r="AK119" s="16">
        <v>300</v>
      </c>
      <c r="AL119" s="18">
        <v>2500</v>
      </c>
      <c r="AM119" s="18">
        <v>2700</v>
      </c>
      <c r="AN119" s="18">
        <v>1800</v>
      </c>
      <c r="AO119" s="16">
        <v>1800</v>
      </c>
      <c r="AP119" s="18">
        <v>2500</v>
      </c>
      <c r="AQ119" s="18">
        <v>2500</v>
      </c>
      <c r="AR119" s="18">
        <v>3000</v>
      </c>
      <c r="AS119" s="18">
        <v>3000</v>
      </c>
      <c r="AT119" s="18">
        <v>3000</v>
      </c>
      <c r="AU119" s="18">
        <v>3000</v>
      </c>
      <c r="AV119" s="18">
        <v>3000</v>
      </c>
      <c r="AW119" s="16">
        <v>3000</v>
      </c>
      <c r="AX119" s="12"/>
      <c r="AY119" s="12"/>
      <c r="AZ119" s="12"/>
      <c r="BA119" s="17"/>
      <c r="BB119" s="12"/>
      <c r="BC119" s="12"/>
      <c r="BD119" s="12"/>
      <c r="BE119" s="17"/>
      <c r="BF119" s="12"/>
      <c r="BG119" s="12"/>
      <c r="BH119" s="12"/>
      <c r="BI119" s="16"/>
      <c r="BJ119" s="16"/>
    </row>
    <row r="120" spans="1:64" ht="15.75" customHeight="1" x14ac:dyDescent="0.15">
      <c r="A120" s="12">
        <v>2052</v>
      </c>
      <c r="B120" s="30">
        <v>45749</v>
      </c>
      <c r="C120" s="14">
        <v>0.39855324074074072</v>
      </c>
      <c r="D120" s="14">
        <v>0.44241898148148145</v>
      </c>
      <c r="E120" s="15">
        <f t="shared" si="2"/>
        <v>4.3865740740740733E-2</v>
      </c>
      <c r="F120" s="16" t="s">
        <v>74</v>
      </c>
      <c r="G120" s="12" t="s">
        <v>175</v>
      </c>
      <c r="H120" s="16"/>
      <c r="I120" s="12" t="s">
        <v>137</v>
      </c>
      <c r="J120" s="12" t="s">
        <v>82</v>
      </c>
      <c r="K120" s="12">
        <v>180</v>
      </c>
      <c r="L120" s="12">
        <v>600</v>
      </c>
      <c r="M120" s="12" t="s">
        <v>77</v>
      </c>
      <c r="N120" s="12"/>
      <c r="O120" s="16"/>
      <c r="P120" s="12"/>
      <c r="Q120" s="12"/>
      <c r="R120" s="12"/>
      <c r="S120" s="12"/>
      <c r="T120" s="12"/>
      <c r="U120" s="12"/>
      <c r="V120" s="16"/>
      <c r="W120" s="12">
        <v>46.26</v>
      </c>
      <c r="X120" s="12" t="s">
        <v>76</v>
      </c>
      <c r="Y120" s="20">
        <v>925.4</v>
      </c>
      <c r="Z120" s="20">
        <v>90.873999999999995</v>
      </c>
      <c r="AB120" s="31">
        <v>5800</v>
      </c>
      <c r="AC120" s="27">
        <v>300</v>
      </c>
      <c r="AD120" s="20">
        <v>58.56</v>
      </c>
      <c r="AE120" s="12" t="s">
        <v>76</v>
      </c>
      <c r="AF120" s="20">
        <v>-654.92999999999995</v>
      </c>
      <c r="AG120" s="20">
        <v>223.82640000000001</v>
      </c>
      <c r="AJ120" s="18">
        <v>4800</v>
      </c>
      <c r="AK120" s="16">
        <v>300</v>
      </c>
      <c r="AL120" s="18">
        <v>2500</v>
      </c>
      <c r="AM120" s="18">
        <v>2700</v>
      </c>
      <c r="AN120" s="18">
        <v>1800</v>
      </c>
      <c r="AO120" s="16">
        <v>1800</v>
      </c>
      <c r="AP120" s="18">
        <v>2500</v>
      </c>
      <c r="AQ120" s="18">
        <v>2500</v>
      </c>
      <c r="AR120" s="18">
        <v>3000</v>
      </c>
      <c r="AS120" s="18">
        <v>3000</v>
      </c>
      <c r="AT120" s="18">
        <v>3000</v>
      </c>
      <c r="AU120" s="18">
        <v>3000</v>
      </c>
      <c r="AV120" s="18">
        <v>3000</v>
      </c>
      <c r="AW120" s="16">
        <v>3000</v>
      </c>
      <c r="AX120" s="12"/>
      <c r="AY120" s="12"/>
      <c r="AZ120" s="12"/>
      <c r="BA120" s="17"/>
      <c r="BB120" s="12"/>
      <c r="BC120" s="12"/>
      <c r="BD120" s="12"/>
      <c r="BE120" s="17"/>
      <c r="BF120" s="12"/>
      <c r="BG120" s="12"/>
      <c r="BH120" s="12"/>
      <c r="BI120" s="16"/>
      <c r="BJ120" s="16"/>
    </row>
    <row r="121" spans="1:64" ht="15.75" customHeight="1" x14ac:dyDescent="0.15">
      <c r="A121" s="12">
        <v>2053</v>
      </c>
      <c r="B121" s="30">
        <v>45749</v>
      </c>
      <c r="C121" s="14">
        <v>0.44274305555555554</v>
      </c>
      <c r="D121" s="14">
        <v>0.48861111111111111</v>
      </c>
      <c r="E121" s="15">
        <f t="shared" si="2"/>
        <v>4.5868055555555565E-2</v>
      </c>
      <c r="F121" s="16" t="s">
        <v>74</v>
      </c>
      <c r="G121" s="12" t="s">
        <v>175</v>
      </c>
      <c r="H121" s="16"/>
      <c r="I121" s="12" t="s">
        <v>137</v>
      </c>
      <c r="J121" s="12" t="s">
        <v>82</v>
      </c>
      <c r="K121" s="12">
        <v>180</v>
      </c>
      <c r="L121" s="12">
        <v>600</v>
      </c>
      <c r="M121" s="12" t="s">
        <v>77</v>
      </c>
      <c r="N121" s="12"/>
      <c r="O121" s="16"/>
      <c r="P121" s="12"/>
      <c r="Q121" s="12"/>
      <c r="R121" s="12"/>
      <c r="S121" s="12"/>
      <c r="T121" s="12"/>
      <c r="U121" s="12"/>
      <c r="V121" s="16"/>
      <c r="W121" s="12">
        <v>46.26</v>
      </c>
      <c r="X121" s="12" t="s">
        <v>76</v>
      </c>
      <c r="Y121" s="20">
        <v>925.4</v>
      </c>
      <c r="Z121" s="20">
        <v>90.873999999999995</v>
      </c>
      <c r="AB121" s="31">
        <v>5800</v>
      </c>
      <c r="AC121" s="27">
        <v>300</v>
      </c>
      <c r="AD121" s="20">
        <v>58.56</v>
      </c>
      <c r="AE121" s="12" t="s">
        <v>76</v>
      </c>
      <c r="AF121" s="20">
        <v>-654.92999999999995</v>
      </c>
      <c r="AG121" s="20">
        <v>223.82640000000001</v>
      </c>
      <c r="AH121" s="12"/>
      <c r="AI121" s="12"/>
      <c r="AJ121" s="18">
        <v>4800</v>
      </c>
      <c r="AK121" s="16">
        <v>300</v>
      </c>
      <c r="AL121" s="18">
        <v>2500</v>
      </c>
      <c r="AM121" s="18">
        <v>2700</v>
      </c>
      <c r="AN121" s="18">
        <v>1800</v>
      </c>
      <c r="AO121" s="16">
        <v>1800</v>
      </c>
      <c r="AP121" s="18">
        <v>2500</v>
      </c>
      <c r="AQ121" s="18">
        <v>2500</v>
      </c>
      <c r="AR121" s="18">
        <v>3000</v>
      </c>
      <c r="AS121" s="18">
        <v>3000</v>
      </c>
      <c r="AT121" s="18">
        <v>3000</v>
      </c>
      <c r="AU121" s="18">
        <v>3000</v>
      </c>
      <c r="AV121" s="18">
        <v>3000</v>
      </c>
      <c r="AW121" s="16">
        <v>3000</v>
      </c>
      <c r="AX121" s="12"/>
      <c r="AY121" s="12"/>
      <c r="AZ121" s="12"/>
      <c r="BA121" s="17"/>
      <c r="BB121" s="12"/>
      <c r="BC121" s="12"/>
      <c r="BD121" s="12"/>
      <c r="BE121" s="17"/>
      <c r="BF121" s="12"/>
      <c r="BG121" s="12"/>
      <c r="BH121" s="12"/>
      <c r="BI121" s="16"/>
      <c r="BJ121" s="16"/>
    </row>
    <row r="122" spans="1:64" ht="15.75" customHeight="1" x14ac:dyDescent="0.15">
      <c r="A122" s="12">
        <v>2054</v>
      </c>
      <c r="B122" s="30">
        <v>45749</v>
      </c>
      <c r="C122" s="14">
        <v>0.48887731481481483</v>
      </c>
      <c r="D122" s="14">
        <v>0.53087962962962965</v>
      </c>
      <c r="E122" s="15">
        <f t="shared" si="2"/>
        <v>4.2002314814814812E-2</v>
      </c>
      <c r="F122" s="16" t="s">
        <v>74</v>
      </c>
      <c r="G122" s="12" t="s">
        <v>175</v>
      </c>
      <c r="H122" s="16"/>
      <c r="I122" s="12" t="s">
        <v>137</v>
      </c>
      <c r="J122" s="12" t="s">
        <v>82</v>
      </c>
      <c r="K122" s="12">
        <v>180</v>
      </c>
      <c r="L122" s="12">
        <v>600</v>
      </c>
      <c r="M122" s="12" t="s">
        <v>77</v>
      </c>
      <c r="N122" s="12"/>
      <c r="O122" s="16"/>
      <c r="V122" s="16"/>
      <c r="W122" s="12">
        <v>46.26</v>
      </c>
      <c r="X122" s="12" t="s">
        <v>76</v>
      </c>
      <c r="Y122" s="20">
        <v>925.4</v>
      </c>
      <c r="Z122" s="20">
        <v>90.873999999999995</v>
      </c>
      <c r="AB122" s="31">
        <v>5800</v>
      </c>
      <c r="AC122" s="27">
        <v>300</v>
      </c>
      <c r="AD122" s="20">
        <v>58.56</v>
      </c>
      <c r="AE122" s="12" t="s">
        <v>76</v>
      </c>
      <c r="AF122" s="20">
        <v>-654.92999999999995</v>
      </c>
      <c r="AG122" s="20">
        <v>223.82640000000001</v>
      </c>
      <c r="AH122" s="12"/>
      <c r="AI122" s="12"/>
      <c r="AJ122" s="18">
        <v>4800</v>
      </c>
      <c r="AK122" s="16">
        <v>300</v>
      </c>
      <c r="AL122" s="18">
        <v>2500</v>
      </c>
      <c r="AM122" s="18">
        <v>2700</v>
      </c>
      <c r="AN122" s="18">
        <v>1800</v>
      </c>
      <c r="AO122" s="16">
        <v>1800</v>
      </c>
      <c r="AP122" s="18">
        <v>2500</v>
      </c>
      <c r="AQ122" s="18">
        <v>2500</v>
      </c>
      <c r="AR122" s="18">
        <v>3000</v>
      </c>
      <c r="AS122" s="18">
        <v>3000</v>
      </c>
      <c r="AT122" s="18">
        <v>3000</v>
      </c>
      <c r="AU122" s="18">
        <v>3000</v>
      </c>
      <c r="AV122" s="18">
        <v>3000</v>
      </c>
      <c r="AW122" s="16">
        <v>3000</v>
      </c>
      <c r="BA122" s="17"/>
      <c r="BE122" s="17"/>
      <c r="BI122" s="16"/>
      <c r="BJ122" s="16"/>
    </row>
    <row r="123" spans="1:64" ht="15.75" customHeight="1" x14ac:dyDescent="0.15">
      <c r="A123" s="12">
        <v>2055</v>
      </c>
      <c r="B123" s="30">
        <v>45749</v>
      </c>
      <c r="C123" s="14">
        <v>0.53107638888888886</v>
      </c>
      <c r="D123" s="33">
        <v>0.57310185185185181</v>
      </c>
      <c r="E123" s="15">
        <f t="shared" si="2"/>
        <v>4.2025462962962945E-2</v>
      </c>
      <c r="F123" s="16" t="s">
        <v>74</v>
      </c>
      <c r="G123" s="12" t="s">
        <v>175</v>
      </c>
      <c r="H123" s="16"/>
      <c r="I123" s="12" t="s">
        <v>137</v>
      </c>
      <c r="J123" s="12" t="s">
        <v>82</v>
      </c>
      <c r="K123" s="12">
        <v>180</v>
      </c>
      <c r="L123" s="12">
        <v>600</v>
      </c>
      <c r="M123" s="12" t="s">
        <v>77</v>
      </c>
      <c r="N123" s="12"/>
      <c r="O123" s="16"/>
      <c r="V123" s="16"/>
      <c r="W123" s="12">
        <v>46.26</v>
      </c>
      <c r="X123" s="12" t="s">
        <v>76</v>
      </c>
      <c r="Y123" s="20">
        <v>925.4</v>
      </c>
      <c r="Z123" s="20">
        <v>90.873999999999995</v>
      </c>
      <c r="AB123" s="31">
        <v>5800</v>
      </c>
      <c r="AC123" s="27">
        <v>300</v>
      </c>
      <c r="AD123" s="20">
        <v>58.56</v>
      </c>
      <c r="AE123" s="12" t="s">
        <v>76</v>
      </c>
      <c r="AF123" s="20">
        <v>-654.92999999999995</v>
      </c>
      <c r="AG123" s="20">
        <v>223.82640000000001</v>
      </c>
      <c r="AH123" s="12"/>
      <c r="AI123" s="12"/>
      <c r="AJ123" s="18">
        <v>4800</v>
      </c>
      <c r="AK123" s="16">
        <v>300</v>
      </c>
      <c r="AL123" s="18">
        <v>2500</v>
      </c>
      <c r="AM123" s="18">
        <v>2700</v>
      </c>
      <c r="AN123" s="18">
        <v>1800</v>
      </c>
      <c r="AO123" s="16">
        <v>1800</v>
      </c>
      <c r="AP123" s="18">
        <v>2500</v>
      </c>
      <c r="AQ123" s="18">
        <v>2500</v>
      </c>
      <c r="AR123" s="18">
        <v>3000</v>
      </c>
      <c r="AS123" s="18">
        <v>3000</v>
      </c>
      <c r="AT123" s="18">
        <v>3000</v>
      </c>
      <c r="AU123" s="18">
        <v>3000</v>
      </c>
      <c r="AV123" s="18">
        <v>3000</v>
      </c>
      <c r="AW123" s="16">
        <v>3000</v>
      </c>
      <c r="BA123" s="17"/>
      <c r="BE123" s="17"/>
      <c r="BI123" s="16"/>
      <c r="BJ123" s="16"/>
    </row>
    <row r="124" spans="1:64" ht="15.75" customHeight="1" x14ac:dyDescent="0.15">
      <c r="A124" s="12">
        <v>2056</v>
      </c>
      <c r="B124" s="30">
        <v>45749</v>
      </c>
      <c r="C124" s="14">
        <v>0.5806944444444444</v>
      </c>
      <c r="D124" s="14">
        <v>0.58773148148148147</v>
      </c>
      <c r="E124" s="15">
        <f t="shared" si="2"/>
        <v>7.0370370370370638E-3</v>
      </c>
      <c r="F124" s="16" t="s">
        <v>83</v>
      </c>
      <c r="G124" s="12" t="s">
        <v>175</v>
      </c>
      <c r="H124" s="16" t="s">
        <v>178</v>
      </c>
      <c r="I124" s="12" t="s">
        <v>137</v>
      </c>
      <c r="J124" s="12" t="s">
        <v>82</v>
      </c>
      <c r="K124" s="12">
        <v>3</v>
      </c>
      <c r="L124" s="12">
        <v>20</v>
      </c>
      <c r="M124" s="12" t="s">
        <v>77</v>
      </c>
      <c r="N124" s="12"/>
      <c r="O124" s="16"/>
      <c r="V124" s="16"/>
      <c r="W124" s="12">
        <v>46.26</v>
      </c>
      <c r="X124" s="12" t="s">
        <v>76</v>
      </c>
      <c r="Y124" s="20">
        <v>925.4</v>
      </c>
      <c r="Z124" s="20">
        <v>90.873999999999995</v>
      </c>
      <c r="AB124" s="31">
        <v>5800</v>
      </c>
      <c r="AC124" s="27">
        <v>300</v>
      </c>
      <c r="AD124" s="20">
        <v>58.56</v>
      </c>
      <c r="AE124" s="12" t="s">
        <v>76</v>
      </c>
      <c r="AF124" s="20">
        <v>-654.92999999999995</v>
      </c>
      <c r="AG124" s="20">
        <v>223.82640000000001</v>
      </c>
      <c r="AH124" s="12"/>
      <c r="AI124" s="12"/>
      <c r="AJ124" s="18">
        <v>4800</v>
      </c>
      <c r="AK124" s="16">
        <v>300</v>
      </c>
      <c r="AL124" s="18">
        <v>2500</v>
      </c>
      <c r="AM124" s="18">
        <v>2700</v>
      </c>
      <c r="AN124" s="18">
        <v>1800</v>
      </c>
      <c r="AO124" s="16">
        <v>1800</v>
      </c>
      <c r="AP124" s="18">
        <v>2500</v>
      </c>
      <c r="AQ124" s="18">
        <v>2500</v>
      </c>
      <c r="AR124" s="18">
        <v>3000</v>
      </c>
      <c r="AS124" s="18">
        <v>3000</v>
      </c>
      <c r="AT124" s="18">
        <v>3000</v>
      </c>
      <c r="AU124" s="18">
        <v>3000</v>
      </c>
      <c r="AV124" s="18">
        <v>3000</v>
      </c>
      <c r="AW124" s="16">
        <v>3000</v>
      </c>
      <c r="AX124" s="12"/>
      <c r="AY124" s="12"/>
      <c r="AZ124" s="12"/>
      <c r="BA124" s="17"/>
      <c r="BB124" s="12"/>
      <c r="BC124" s="12"/>
      <c r="BD124" s="12"/>
      <c r="BE124" s="17"/>
      <c r="BF124" s="12"/>
      <c r="BG124" s="12"/>
      <c r="BH124" s="12"/>
      <c r="BI124" s="16"/>
      <c r="BJ124" s="16"/>
    </row>
    <row r="125" spans="1:64" ht="15.75" customHeight="1" x14ac:dyDescent="0.15">
      <c r="A125" s="12">
        <v>2057</v>
      </c>
      <c r="B125" s="30">
        <v>45749</v>
      </c>
      <c r="C125" s="14">
        <v>0.59321759259259255</v>
      </c>
      <c r="D125" s="14">
        <v>0.60268518518518521</v>
      </c>
      <c r="E125" s="15">
        <f t="shared" si="2"/>
        <v>9.4675925925926663E-3</v>
      </c>
      <c r="F125" s="16" t="s">
        <v>83</v>
      </c>
      <c r="G125" s="12" t="s">
        <v>175</v>
      </c>
      <c r="H125" s="16" t="s">
        <v>179</v>
      </c>
      <c r="I125" s="12" t="s">
        <v>137</v>
      </c>
      <c r="J125" s="12" t="s">
        <v>80</v>
      </c>
      <c r="K125" s="12">
        <v>4</v>
      </c>
      <c r="L125" s="12">
        <v>20</v>
      </c>
      <c r="M125" s="12" t="s">
        <v>77</v>
      </c>
      <c r="N125" s="12"/>
      <c r="O125" s="16"/>
      <c r="P125" s="12"/>
      <c r="Q125" s="12"/>
      <c r="R125" s="12"/>
      <c r="S125" s="12"/>
      <c r="T125" s="12"/>
      <c r="U125" s="12"/>
      <c r="V125" s="16"/>
      <c r="W125" s="12">
        <v>46.26</v>
      </c>
      <c r="X125" s="12" t="s">
        <v>76</v>
      </c>
      <c r="Y125" s="20">
        <v>925.4</v>
      </c>
      <c r="Z125" s="20">
        <v>90.873999999999995</v>
      </c>
      <c r="AB125" s="31">
        <v>5800</v>
      </c>
      <c r="AC125" s="27">
        <v>300</v>
      </c>
      <c r="AD125" s="20">
        <v>58.56</v>
      </c>
      <c r="AE125" s="12" t="s">
        <v>76</v>
      </c>
      <c r="AF125" s="20">
        <v>-654.92999999999995</v>
      </c>
      <c r="AG125" s="20">
        <v>223.82640000000001</v>
      </c>
      <c r="AH125" s="12"/>
      <c r="AI125" s="12"/>
      <c r="AJ125" s="18">
        <v>4800</v>
      </c>
      <c r="AK125" s="16">
        <v>300</v>
      </c>
      <c r="AL125" s="18">
        <v>2500</v>
      </c>
      <c r="AM125" s="18">
        <v>2700</v>
      </c>
      <c r="AN125" s="18">
        <v>1800</v>
      </c>
      <c r="AO125" s="16">
        <v>1800</v>
      </c>
      <c r="AP125" s="18">
        <v>2500</v>
      </c>
      <c r="AQ125" s="18">
        <v>2500</v>
      </c>
      <c r="AR125" s="18">
        <v>3000</v>
      </c>
      <c r="AS125" s="18">
        <v>3000</v>
      </c>
      <c r="AT125" s="18">
        <v>3000</v>
      </c>
      <c r="AU125" s="18">
        <v>3000</v>
      </c>
      <c r="AV125" s="18">
        <v>3000</v>
      </c>
      <c r="AW125" s="16">
        <v>3000</v>
      </c>
      <c r="AX125" s="12"/>
      <c r="AY125" s="12"/>
      <c r="AZ125" s="12"/>
      <c r="BA125" s="17"/>
      <c r="BB125" s="12"/>
      <c r="BC125" s="12"/>
      <c r="BD125" s="12"/>
      <c r="BE125" s="17"/>
      <c r="BF125" s="12"/>
      <c r="BG125" s="12"/>
      <c r="BH125" s="12"/>
      <c r="BI125" s="16"/>
      <c r="BJ125" s="16"/>
      <c r="BK125" s="20"/>
      <c r="BL125" s="20"/>
    </row>
    <row r="126" spans="1:64" ht="15.75" customHeight="1" x14ac:dyDescent="0.15">
      <c r="A126" s="12">
        <v>2058</v>
      </c>
      <c r="B126" s="30">
        <v>45749</v>
      </c>
      <c r="C126" s="14">
        <v>0.60836805555555551</v>
      </c>
      <c r="D126" s="14">
        <v>0.65365740740740741</v>
      </c>
      <c r="E126" s="15">
        <f t="shared" si="2"/>
        <v>4.52893518518519E-2</v>
      </c>
      <c r="F126" s="16" t="s">
        <v>74</v>
      </c>
      <c r="G126" s="12" t="s">
        <v>175</v>
      </c>
      <c r="H126" s="16"/>
      <c r="I126" s="12" t="s">
        <v>137</v>
      </c>
      <c r="J126" s="12" t="s">
        <v>82</v>
      </c>
      <c r="K126" s="12">
        <v>180</v>
      </c>
      <c r="L126" s="12">
        <v>600</v>
      </c>
      <c r="M126" s="12" t="s">
        <v>77</v>
      </c>
      <c r="N126" s="12"/>
      <c r="O126" s="16"/>
      <c r="P126" s="12"/>
      <c r="Q126" s="12"/>
      <c r="R126" s="12"/>
      <c r="S126" s="12"/>
      <c r="T126" s="12"/>
      <c r="U126" s="12"/>
      <c r="V126" s="16"/>
      <c r="W126" s="12">
        <v>46.26</v>
      </c>
      <c r="X126" s="12" t="s">
        <v>76</v>
      </c>
      <c r="Y126" s="20">
        <v>925.4</v>
      </c>
      <c r="Z126" s="20">
        <v>90.873999999999995</v>
      </c>
      <c r="AB126" s="31">
        <v>5800</v>
      </c>
      <c r="AC126" s="27">
        <v>300</v>
      </c>
      <c r="AD126" s="20">
        <v>58.56</v>
      </c>
      <c r="AE126" s="12" t="s">
        <v>76</v>
      </c>
      <c r="AF126" s="20">
        <v>-654.92999999999995</v>
      </c>
      <c r="AG126" s="20">
        <v>223.82640000000001</v>
      </c>
      <c r="AH126" s="12"/>
      <c r="AI126" s="12"/>
      <c r="AJ126" s="18">
        <v>4800</v>
      </c>
      <c r="AK126" s="16">
        <v>300</v>
      </c>
      <c r="AL126" s="18">
        <v>2500</v>
      </c>
      <c r="AM126" s="18">
        <v>2700</v>
      </c>
      <c r="AN126" s="18">
        <v>1800</v>
      </c>
      <c r="AO126" s="16">
        <v>1800</v>
      </c>
      <c r="AP126" s="18">
        <v>2500</v>
      </c>
      <c r="AQ126" s="18">
        <v>2500</v>
      </c>
      <c r="AR126" s="18">
        <v>3000</v>
      </c>
      <c r="AS126" s="18">
        <v>3000</v>
      </c>
      <c r="AT126" s="18">
        <v>3000</v>
      </c>
      <c r="AU126" s="18">
        <v>3000</v>
      </c>
      <c r="AV126" s="18">
        <v>3000</v>
      </c>
      <c r="AW126" s="16">
        <v>3000</v>
      </c>
      <c r="AX126" s="12"/>
      <c r="AY126" s="12"/>
      <c r="AZ126" s="12"/>
      <c r="BA126" s="17"/>
      <c r="BB126" s="12"/>
      <c r="BC126" s="12"/>
      <c r="BD126" s="12"/>
      <c r="BE126" s="17"/>
      <c r="BF126" s="12"/>
      <c r="BG126" s="12"/>
      <c r="BH126" s="12"/>
      <c r="BI126" s="16"/>
      <c r="BJ126" s="16"/>
      <c r="BK126" s="12"/>
      <c r="BL126" s="12"/>
    </row>
    <row r="127" spans="1:64" ht="15.75" customHeight="1" x14ac:dyDescent="0.15">
      <c r="A127" s="12">
        <v>2059</v>
      </c>
      <c r="B127" s="30">
        <v>45749</v>
      </c>
      <c r="C127" s="14">
        <v>0.65589120370370368</v>
      </c>
      <c r="D127" s="14">
        <v>0.69765046296296296</v>
      </c>
      <c r="E127" s="15">
        <f t="shared" si="2"/>
        <v>4.1759259259259274E-2</v>
      </c>
      <c r="F127" s="16" t="s">
        <v>74</v>
      </c>
      <c r="G127" s="12" t="s">
        <v>180</v>
      </c>
      <c r="H127" s="16"/>
      <c r="I127" s="12" t="s">
        <v>81</v>
      </c>
      <c r="J127" s="12" t="s">
        <v>82</v>
      </c>
      <c r="K127" s="12">
        <v>180</v>
      </c>
      <c r="L127" s="12">
        <v>600</v>
      </c>
      <c r="M127" s="12" t="s">
        <v>77</v>
      </c>
      <c r="N127" s="12"/>
      <c r="O127" s="16"/>
      <c r="P127" s="12"/>
      <c r="Q127" s="12"/>
      <c r="R127" s="12"/>
      <c r="S127" s="12"/>
      <c r="T127" s="12"/>
      <c r="U127" s="12"/>
      <c r="V127" s="16"/>
      <c r="W127" s="12">
        <v>46.26</v>
      </c>
      <c r="X127" s="12" t="s">
        <v>76</v>
      </c>
      <c r="Y127" s="20">
        <v>925.4</v>
      </c>
      <c r="Z127" s="20">
        <v>90.873999999999995</v>
      </c>
      <c r="AB127" s="31">
        <v>5800</v>
      </c>
      <c r="AC127" s="27">
        <v>300</v>
      </c>
      <c r="AD127" s="20">
        <v>58.56</v>
      </c>
      <c r="AE127" s="12" t="s">
        <v>76</v>
      </c>
      <c r="AF127" s="20">
        <v>-654.92999999999995</v>
      </c>
      <c r="AG127" s="20">
        <v>223.82640000000001</v>
      </c>
      <c r="AH127" s="12"/>
      <c r="AI127" s="12"/>
      <c r="AJ127" s="18">
        <v>4800</v>
      </c>
      <c r="AK127" s="16">
        <v>300</v>
      </c>
      <c r="AL127" s="18">
        <v>2500</v>
      </c>
      <c r="AM127" s="18">
        <v>2700</v>
      </c>
      <c r="AN127" s="18">
        <v>1800</v>
      </c>
      <c r="AO127" s="16">
        <v>1800</v>
      </c>
      <c r="AP127" s="18">
        <v>2500</v>
      </c>
      <c r="AQ127" s="18">
        <v>2500</v>
      </c>
      <c r="AR127" s="18">
        <v>3000</v>
      </c>
      <c r="AS127" s="18">
        <v>3000</v>
      </c>
      <c r="AT127" s="18">
        <v>3000</v>
      </c>
      <c r="AU127" s="18">
        <v>3000</v>
      </c>
      <c r="AV127" s="18">
        <v>3000</v>
      </c>
      <c r="AW127" s="16">
        <v>3000</v>
      </c>
      <c r="AX127" s="12"/>
      <c r="AY127" s="12"/>
      <c r="AZ127" s="12"/>
      <c r="BA127" s="17"/>
      <c r="BB127" s="12"/>
      <c r="BC127" s="12"/>
      <c r="BD127" s="12"/>
      <c r="BE127" s="17"/>
      <c r="BF127" s="12"/>
      <c r="BG127" s="12"/>
      <c r="BH127" s="12"/>
      <c r="BI127" s="16"/>
      <c r="BJ127" s="16"/>
      <c r="BK127" s="20"/>
      <c r="BL127" s="20"/>
    </row>
    <row r="128" spans="1:64" ht="15.75" customHeight="1" x14ac:dyDescent="0.15">
      <c r="A128" s="12">
        <v>2060</v>
      </c>
      <c r="B128" s="30">
        <v>45749</v>
      </c>
      <c r="C128" s="14">
        <v>0.69802083333333331</v>
      </c>
      <c r="D128" s="14">
        <v>0.7401388888888889</v>
      </c>
      <c r="E128" s="15">
        <f t="shared" si="2"/>
        <v>4.2118055555555589E-2</v>
      </c>
      <c r="F128" s="16" t="s">
        <v>74</v>
      </c>
      <c r="G128" s="12" t="s">
        <v>180</v>
      </c>
      <c r="H128" s="16"/>
      <c r="I128" s="12" t="s">
        <v>81</v>
      </c>
      <c r="J128" s="12" t="s">
        <v>82</v>
      </c>
      <c r="K128" s="12">
        <v>180</v>
      </c>
      <c r="L128" s="12">
        <v>600</v>
      </c>
      <c r="M128" s="12" t="s">
        <v>77</v>
      </c>
      <c r="N128" s="12"/>
      <c r="O128" s="16"/>
      <c r="P128" s="12"/>
      <c r="Q128" s="12"/>
      <c r="R128" s="12"/>
      <c r="S128" s="12"/>
      <c r="T128" s="12"/>
      <c r="U128" s="12"/>
      <c r="V128" s="16"/>
      <c r="W128" s="12">
        <v>46.26</v>
      </c>
      <c r="X128" s="12" t="s">
        <v>76</v>
      </c>
      <c r="Y128" s="20">
        <v>925.4</v>
      </c>
      <c r="Z128" s="20">
        <v>90.873999999999995</v>
      </c>
      <c r="AB128" s="31">
        <v>5800</v>
      </c>
      <c r="AC128" s="27">
        <v>300</v>
      </c>
      <c r="AD128" s="20">
        <v>58.56</v>
      </c>
      <c r="AE128" s="12" t="s">
        <v>76</v>
      </c>
      <c r="AF128" s="20">
        <v>-654.92999999999995</v>
      </c>
      <c r="AG128" s="20">
        <v>223.82640000000001</v>
      </c>
      <c r="AH128" s="12"/>
      <c r="AI128" s="12"/>
      <c r="AJ128" s="18">
        <v>4800</v>
      </c>
      <c r="AK128" s="16">
        <v>300</v>
      </c>
      <c r="AL128" s="18">
        <v>2500</v>
      </c>
      <c r="AM128" s="18">
        <v>2700</v>
      </c>
      <c r="AN128" s="18">
        <v>1800</v>
      </c>
      <c r="AO128" s="16">
        <v>1800</v>
      </c>
      <c r="AP128" s="18">
        <v>2500</v>
      </c>
      <c r="AQ128" s="18">
        <v>2500</v>
      </c>
      <c r="AR128" s="18">
        <v>3000</v>
      </c>
      <c r="AS128" s="18">
        <v>3000</v>
      </c>
      <c r="AT128" s="18">
        <v>3000</v>
      </c>
      <c r="AU128" s="18">
        <v>3000</v>
      </c>
      <c r="AV128" s="18">
        <v>3000</v>
      </c>
      <c r="AW128" s="16">
        <v>3000</v>
      </c>
      <c r="AX128" s="12"/>
      <c r="AY128" s="12"/>
      <c r="AZ128" s="12"/>
      <c r="BA128" s="17"/>
      <c r="BB128" s="12"/>
      <c r="BC128" s="12"/>
      <c r="BD128" s="12"/>
      <c r="BE128" s="17"/>
      <c r="BF128" s="12"/>
      <c r="BG128" s="12"/>
      <c r="BH128" s="12"/>
      <c r="BI128" s="16"/>
      <c r="BJ128" s="16"/>
    </row>
    <row r="129" spans="1:62" ht="15.75" customHeight="1" x14ac:dyDescent="0.15">
      <c r="A129" s="12">
        <v>2061</v>
      </c>
      <c r="B129" s="30">
        <v>45749</v>
      </c>
      <c r="C129" s="14">
        <v>0.74115740740740743</v>
      </c>
      <c r="D129" s="14">
        <v>0.78293981481481478</v>
      </c>
      <c r="E129" s="15">
        <f t="shared" si="2"/>
        <v>4.1782407407407351E-2</v>
      </c>
      <c r="F129" s="16" t="s">
        <v>74</v>
      </c>
      <c r="G129" s="12" t="s">
        <v>180</v>
      </c>
      <c r="H129" s="16"/>
      <c r="I129" s="12" t="s">
        <v>81</v>
      </c>
      <c r="J129" s="12" t="s">
        <v>82</v>
      </c>
      <c r="K129" s="12">
        <v>180</v>
      </c>
      <c r="L129" s="12">
        <v>600</v>
      </c>
      <c r="M129" s="12" t="s">
        <v>77</v>
      </c>
      <c r="N129" s="12"/>
      <c r="O129" s="16"/>
      <c r="P129" s="12"/>
      <c r="Q129" s="12"/>
      <c r="R129" s="12"/>
      <c r="S129" s="12"/>
      <c r="T129" s="12"/>
      <c r="U129" s="12"/>
      <c r="V129" s="16"/>
      <c r="W129" s="12">
        <v>46.26</v>
      </c>
      <c r="X129" s="12" t="s">
        <v>76</v>
      </c>
      <c r="Y129" s="20">
        <v>925.4</v>
      </c>
      <c r="Z129" s="20">
        <v>90.873999999999995</v>
      </c>
      <c r="AB129" s="31">
        <v>5800</v>
      </c>
      <c r="AC129" s="27">
        <v>300</v>
      </c>
      <c r="AD129" s="20">
        <v>58.56</v>
      </c>
      <c r="AE129" s="12" t="s">
        <v>76</v>
      </c>
      <c r="AF129" s="20">
        <v>-654.92999999999995</v>
      </c>
      <c r="AG129" s="20">
        <v>223.82640000000001</v>
      </c>
      <c r="AH129" s="12"/>
      <c r="AI129" s="12"/>
      <c r="AJ129" s="18">
        <v>4800</v>
      </c>
      <c r="AK129" s="16">
        <v>300</v>
      </c>
      <c r="AL129" s="18">
        <v>2500</v>
      </c>
      <c r="AM129" s="18">
        <v>2700</v>
      </c>
      <c r="AN129" s="18">
        <v>1800</v>
      </c>
      <c r="AO129" s="16">
        <v>1800</v>
      </c>
      <c r="AP129" s="18">
        <v>2500</v>
      </c>
      <c r="AQ129" s="18">
        <v>2500</v>
      </c>
      <c r="AR129" s="18">
        <v>3000</v>
      </c>
      <c r="AS129" s="18">
        <v>3000</v>
      </c>
      <c r="AT129" s="18">
        <v>3000</v>
      </c>
      <c r="AU129" s="18">
        <v>3000</v>
      </c>
      <c r="AV129" s="18">
        <v>3000</v>
      </c>
      <c r="AW129" s="16">
        <v>3000</v>
      </c>
      <c r="AX129" s="12"/>
      <c r="AY129" s="12"/>
      <c r="AZ129" s="12"/>
      <c r="BA129" s="17"/>
      <c r="BB129" s="12"/>
      <c r="BC129" s="12"/>
      <c r="BD129" s="12"/>
      <c r="BE129" s="17"/>
      <c r="BF129" s="12"/>
      <c r="BG129" s="12"/>
      <c r="BH129" s="12"/>
      <c r="BI129" s="16"/>
      <c r="BJ129" s="16"/>
    </row>
    <row r="130" spans="1:62" ht="15.75" customHeight="1" x14ac:dyDescent="0.15">
      <c r="A130" s="12">
        <v>2062</v>
      </c>
      <c r="B130" s="30">
        <v>45749</v>
      </c>
      <c r="C130" s="14">
        <v>0.78331018518518514</v>
      </c>
      <c r="D130" s="14">
        <v>0.78861111111111115</v>
      </c>
      <c r="E130" s="15">
        <f t="shared" si="2"/>
        <v>5.3009259259260144E-3</v>
      </c>
      <c r="F130" s="16" t="s">
        <v>74</v>
      </c>
      <c r="G130" s="12" t="s">
        <v>180</v>
      </c>
      <c r="H130" s="16"/>
      <c r="I130" s="12" t="s">
        <v>81</v>
      </c>
      <c r="J130" s="12" t="s">
        <v>82</v>
      </c>
      <c r="K130" s="12">
        <v>180</v>
      </c>
      <c r="L130" s="12">
        <v>600</v>
      </c>
      <c r="M130" s="12" t="s">
        <v>77</v>
      </c>
      <c r="N130" s="12"/>
      <c r="O130" s="16"/>
      <c r="P130" s="12"/>
      <c r="Q130" s="12"/>
      <c r="R130" s="12"/>
      <c r="S130" s="12"/>
      <c r="T130" s="12"/>
      <c r="U130" s="12"/>
      <c r="V130" s="16"/>
      <c r="W130" s="12">
        <v>46.26</v>
      </c>
      <c r="X130" s="12" t="s">
        <v>76</v>
      </c>
      <c r="Y130" s="20">
        <v>925.4</v>
      </c>
      <c r="Z130" s="20">
        <v>90.873999999999995</v>
      </c>
      <c r="AB130" s="31">
        <v>5800</v>
      </c>
      <c r="AC130" s="27">
        <v>300</v>
      </c>
      <c r="AD130" s="20">
        <v>58.56</v>
      </c>
      <c r="AE130" s="12" t="s">
        <v>76</v>
      </c>
      <c r="AF130" s="20">
        <v>-654.92999999999995</v>
      </c>
      <c r="AG130" s="20">
        <v>223.82640000000001</v>
      </c>
      <c r="AH130" s="12"/>
      <c r="AI130" s="12"/>
      <c r="AJ130" s="18">
        <v>4800</v>
      </c>
      <c r="AK130" s="16">
        <v>300</v>
      </c>
      <c r="AL130" s="18">
        <v>2500</v>
      </c>
      <c r="AM130" s="18">
        <v>2700</v>
      </c>
      <c r="AN130" s="18">
        <v>1800</v>
      </c>
      <c r="AO130" s="16">
        <v>1800</v>
      </c>
      <c r="AP130" s="18">
        <v>2500</v>
      </c>
      <c r="AQ130" s="18">
        <v>2500</v>
      </c>
      <c r="AR130" s="18">
        <v>3000</v>
      </c>
      <c r="AS130" s="18">
        <v>3000</v>
      </c>
      <c r="AT130" s="18">
        <v>3000</v>
      </c>
      <c r="AU130" s="18">
        <v>3000</v>
      </c>
      <c r="AV130" s="18">
        <v>3000</v>
      </c>
      <c r="AW130" s="16">
        <v>3000</v>
      </c>
      <c r="AX130" s="12"/>
      <c r="AY130" s="12"/>
      <c r="AZ130" s="12"/>
      <c r="BA130" s="17"/>
      <c r="BB130" s="12"/>
      <c r="BC130" s="12"/>
      <c r="BD130" s="12"/>
      <c r="BE130" s="17"/>
      <c r="BF130" s="12"/>
      <c r="BG130" s="12"/>
      <c r="BH130" s="12"/>
      <c r="BI130" s="16"/>
      <c r="BJ130" s="16"/>
    </row>
    <row r="131" spans="1:62" s="67" customFormat="1" ht="15.75" customHeight="1" x14ac:dyDescent="0.15">
      <c r="A131" s="67">
        <v>2063</v>
      </c>
      <c r="B131" s="68">
        <v>45749</v>
      </c>
      <c r="C131" s="69">
        <v>0.80034722222222221</v>
      </c>
      <c r="D131" s="69">
        <v>0.84243055555555557</v>
      </c>
      <c r="E131" s="70">
        <f t="shared" si="2"/>
        <v>4.2083333333333361E-2</v>
      </c>
      <c r="F131" s="71" t="s">
        <v>83</v>
      </c>
      <c r="G131" s="67" t="s">
        <v>181</v>
      </c>
      <c r="H131" s="71"/>
      <c r="I131" s="67" t="s">
        <v>96</v>
      </c>
      <c r="J131" s="67" t="s">
        <v>82</v>
      </c>
      <c r="K131" s="67">
        <v>250</v>
      </c>
      <c r="L131" s="67">
        <v>600</v>
      </c>
      <c r="M131" s="67" t="s">
        <v>77</v>
      </c>
      <c r="O131" s="71"/>
      <c r="V131" s="71"/>
      <c r="W131" s="67">
        <v>46.26</v>
      </c>
      <c r="X131" s="67" t="s">
        <v>76</v>
      </c>
      <c r="Y131" s="67">
        <v>925.4</v>
      </c>
      <c r="Z131" s="67">
        <v>90.873999999999995</v>
      </c>
      <c r="AB131" s="67">
        <v>5800</v>
      </c>
      <c r="AC131" s="71">
        <v>300</v>
      </c>
      <c r="AD131" s="67">
        <v>58.56</v>
      </c>
      <c r="AE131" s="67" t="s">
        <v>85</v>
      </c>
      <c r="AF131" s="67">
        <v>-654.92999999999995</v>
      </c>
      <c r="AG131" s="67">
        <v>223.82640000000001</v>
      </c>
      <c r="AJ131" s="67">
        <v>4800</v>
      </c>
      <c r="AK131" s="71">
        <v>300</v>
      </c>
      <c r="AL131" s="67">
        <v>2500</v>
      </c>
      <c r="AM131" s="67">
        <v>2700</v>
      </c>
      <c r="AN131" s="67">
        <v>1800</v>
      </c>
      <c r="AO131" s="71">
        <v>1800</v>
      </c>
      <c r="AP131" s="67">
        <v>2500</v>
      </c>
      <c r="AQ131" s="67">
        <v>2500</v>
      </c>
      <c r="AR131" s="67">
        <v>3000</v>
      </c>
      <c r="AS131" s="67">
        <v>3000</v>
      </c>
      <c r="AT131" s="67">
        <v>3000</v>
      </c>
      <c r="AU131" s="67">
        <v>3000</v>
      </c>
      <c r="AV131" s="67">
        <v>3000</v>
      </c>
      <c r="AW131" s="71">
        <v>3000</v>
      </c>
      <c r="BA131" s="72"/>
      <c r="BE131" s="72"/>
      <c r="BI131" s="71"/>
      <c r="BJ131" s="71"/>
    </row>
    <row r="132" spans="1:62" s="67" customFormat="1" ht="15.75" customHeight="1" x14ac:dyDescent="0.15">
      <c r="A132" s="67">
        <v>2064</v>
      </c>
      <c r="B132" s="68">
        <v>45749</v>
      </c>
      <c r="C132" s="69">
        <v>0.84449074074074071</v>
      </c>
      <c r="D132" s="69">
        <v>0.84834490740740742</v>
      </c>
      <c r="E132" s="70">
        <f t="shared" si="2"/>
        <v>3.854166666666714E-3</v>
      </c>
      <c r="F132" s="71" t="s">
        <v>83</v>
      </c>
      <c r="G132" s="67" t="s">
        <v>181</v>
      </c>
      <c r="H132" s="71"/>
      <c r="I132" s="67" t="s">
        <v>96</v>
      </c>
      <c r="J132" s="67" t="s">
        <v>82</v>
      </c>
      <c r="K132" s="67">
        <v>250</v>
      </c>
      <c r="L132" s="67">
        <v>600</v>
      </c>
      <c r="M132" s="67" t="s">
        <v>155</v>
      </c>
      <c r="O132" s="71"/>
      <c r="V132" s="71"/>
      <c r="W132" s="67">
        <v>46.26</v>
      </c>
      <c r="X132" s="67" t="s">
        <v>76</v>
      </c>
      <c r="Y132" s="67">
        <v>925.4</v>
      </c>
      <c r="Z132" s="67">
        <v>90.873999999999995</v>
      </c>
      <c r="AB132" s="67">
        <v>5800</v>
      </c>
      <c r="AC132" s="71">
        <v>300</v>
      </c>
      <c r="AD132" s="67">
        <v>58.56</v>
      </c>
      <c r="AE132" s="67" t="s">
        <v>85</v>
      </c>
      <c r="AF132" s="67">
        <v>-654.92999999999995</v>
      </c>
      <c r="AG132" s="67">
        <v>223.82640000000001</v>
      </c>
      <c r="AJ132" s="67">
        <v>4800</v>
      </c>
      <c r="AK132" s="71">
        <v>300</v>
      </c>
      <c r="AL132" s="67">
        <v>2500</v>
      </c>
      <c r="AM132" s="67">
        <v>2700</v>
      </c>
      <c r="AN132" s="67">
        <v>1800</v>
      </c>
      <c r="AO132" s="71">
        <v>1800</v>
      </c>
      <c r="AP132" s="67">
        <v>2500</v>
      </c>
      <c r="AQ132" s="67">
        <v>2500</v>
      </c>
      <c r="AR132" s="67">
        <v>3000</v>
      </c>
      <c r="AS132" s="67">
        <v>3000</v>
      </c>
      <c r="AT132" s="67">
        <v>3000</v>
      </c>
      <c r="AU132" s="67">
        <v>3000</v>
      </c>
      <c r="AV132" s="67">
        <v>3000</v>
      </c>
      <c r="AW132" s="71">
        <v>3000</v>
      </c>
      <c r="BA132" s="72"/>
      <c r="BE132" s="72"/>
      <c r="BI132" s="71"/>
      <c r="BJ132" s="71"/>
    </row>
    <row r="133" spans="1:62" s="67" customFormat="1" ht="15.75" customHeight="1" x14ac:dyDescent="0.15">
      <c r="A133" s="67">
        <v>2065</v>
      </c>
      <c r="B133" s="68">
        <v>45749</v>
      </c>
      <c r="C133" s="69">
        <v>0.84861111111111109</v>
      </c>
      <c r="D133" s="69">
        <v>0.89039351851851856</v>
      </c>
      <c r="E133" s="70">
        <f t="shared" si="2"/>
        <v>4.1782407407407463E-2</v>
      </c>
      <c r="F133" s="71" t="s">
        <v>83</v>
      </c>
      <c r="G133" s="67" t="s">
        <v>182</v>
      </c>
      <c r="H133" s="71"/>
      <c r="I133" s="67" t="s">
        <v>96</v>
      </c>
      <c r="J133" s="67" t="s">
        <v>82</v>
      </c>
      <c r="K133" s="67">
        <v>250</v>
      </c>
      <c r="L133" s="67">
        <v>600</v>
      </c>
      <c r="M133" s="67" t="s">
        <v>155</v>
      </c>
      <c r="O133" s="71"/>
      <c r="V133" s="71"/>
      <c r="W133" s="67">
        <v>46.26</v>
      </c>
      <c r="X133" s="67" t="s">
        <v>85</v>
      </c>
      <c r="Y133" s="67">
        <v>925.4</v>
      </c>
      <c r="Z133" s="67">
        <v>90.873999999999995</v>
      </c>
      <c r="AB133" s="67">
        <v>5800</v>
      </c>
      <c r="AC133" s="71">
        <v>300</v>
      </c>
      <c r="AD133" s="67">
        <v>58.56</v>
      </c>
      <c r="AE133" s="67" t="s">
        <v>85</v>
      </c>
      <c r="AF133" s="67">
        <v>-654.92999999999995</v>
      </c>
      <c r="AG133" s="67">
        <v>223.82640000000001</v>
      </c>
      <c r="AJ133" s="67">
        <v>4800</v>
      </c>
      <c r="AK133" s="71">
        <v>300</v>
      </c>
      <c r="AL133" s="67">
        <v>2500</v>
      </c>
      <c r="AM133" s="67">
        <v>2700</v>
      </c>
      <c r="AN133" s="67">
        <v>1800</v>
      </c>
      <c r="AO133" s="71">
        <v>1800</v>
      </c>
      <c r="AP133" s="67">
        <v>2500</v>
      </c>
      <c r="AQ133" s="67">
        <v>2500</v>
      </c>
      <c r="AR133" s="67">
        <v>3000</v>
      </c>
      <c r="AS133" s="67">
        <v>3000</v>
      </c>
      <c r="AT133" s="67">
        <v>3000</v>
      </c>
      <c r="AU133" s="67">
        <v>3000</v>
      </c>
      <c r="AV133" s="67">
        <v>3000</v>
      </c>
      <c r="AW133" s="71">
        <v>3000</v>
      </c>
      <c r="BA133" s="72"/>
      <c r="BE133" s="72"/>
      <c r="BI133" s="71"/>
      <c r="BJ133" s="71"/>
    </row>
    <row r="134" spans="1:62" s="63" customFormat="1" ht="15.75" customHeight="1" x14ac:dyDescent="0.15">
      <c r="A134" s="56" t="s">
        <v>185</v>
      </c>
      <c r="B134" s="57"/>
      <c r="C134" s="58"/>
      <c r="D134" s="58"/>
      <c r="E134" s="59"/>
      <c r="F134" s="60"/>
      <c r="G134" s="56"/>
      <c r="H134" s="60"/>
      <c r="I134" s="56"/>
      <c r="J134" s="56"/>
      <c r="K134" s="61"/>
      <c r="L134" s="61"/>
      <c r="M134" s="56"/>
      <c r="N134" s="56"/>
      <c r="O134" s="60"/>
      <c r="P134" s="56"/>
      <c r="Q134" s="56"/>
      <c r="R134" s="56"/>
      <c r="S134" s="56"/>
      <c r="T134" s="56"/>
      <c r="U134" s="56"/>
      <c r="V134" s="60"/>
      <c r="W134" s="56"/>
      <c r="X134" s="56"/>
      <c r="Y134" s="62"/>
      <c r="Z134" s="62"/>
      <c r="AB134" s="64"/>
      <c r="AC134" s="65"/>
      <c r="AD134" s="62"/>
      <c r="AE134" s="56"/>
      <c r="AF134" s="62"/>
      <c r="AG134" s="62"/>
      <c r="AH134" s="56"/>
      <c r="AI134" s="56"/>
      <c r="AJ134" s="61"/>
      <c r="AK134" s="60"/>
      <c r="AL134" s="61"/>
      <c r="AM134" s="61"/>
      <c r="AN134" s="61"/>
      <c r="AO134" s="60"/>
      <c r="AP134" s="61"/>
      <c r="AQ134" s="61"/>
      <c r="AR134" s="61"/>
      <c r="AS134" s="61"/>
      <c r="AT134" s="61"/>
      <c r="AU134" s="61"/>
      <c r="AV134" s="61"/>
      <c r="AW134" s="60"/>
      <c r="AX134" s="56"/>
      <c r="AY134" s="56"/>
      <c r="AZ134" s="56"/>
      <c r="BA134" s="66"/>
      <c r="BB134" s="56"/>
      <c r="BC134" s="56"/>
      <c r="BD134" s="56"/>
      <c r="BE134" s="66"/>
      <c r="BF134" s="56"/>
      <c r="BG134" s="56"/>
      <c r="BH134" s="56"/>
      <c r="BI134" s="60"/>
      <c r="BJ134" s="60"/>
    </row>
    <row r="135" spans="1:62" ht="15.75" customHeight="1" x14ac:dyDescent="0.15">
      <c r="A135" s="12">
        <v>3001</v>
      </c>
      <c r="B135" s="13"/>
      <c r="C135" s="14"/>
      <c r="D135" s="14"/>
      <c r="E135" s="15"/>
      <c r="F135" s="16"/>
      <c r="G135" s="12" t="s">
        <v>183</v>
      </c>
      <c r="H135" s="16"/>
      <c r="I135" s="12"/>
      <c r="J135" s="12"/>
      <c r="K135" s="12"/>
      <c r="L135" s="12"/>
      <c r="M135" s="12"/>
      <c r="N135" s="12"/>
      <c r="O135" s="16"/>
      <c r="V135" s="16"/>
      <c r="W135" s="12"/>
      <c r="X135" s="12"/>
      <c r="Y135" s="12"/>
      <c r="Z135" s="12"/>
      <c r="AA135" s="12"/>
      <c r="AB135" s="12"/>
      <c r="AC135" s="16"/>
      <c r="AD135" s="12"/>
      <c r="AE135" s="12"/>
      <c r="AK135" s="16"/>
      <c r="AL135" s="12"/>
      <c r="AM135" s="12"/>
      <c r="AN135" s="12"/>
      <c r="AO135" s="16"/>
      <c r="AW135" s="16"/>
      <c r="BA135" s="17"/>
      <c r="BE135" s="17"/>
      <c r="BI135" s="16"/>
      <c r="BJ135" s="16"/>
    </row>
    <row r="136" spans="1:62" ht="15.75" customHeight="1" x14ac:dyDescent="0.15">
      <c r="A136" s="12">
        <v>3002</v>
      </c>
      <c r="B136" s="13"/>
      <c r="C136" s="14"/>
      <c r="D136" s="14"/>
      <c r="E136" s="15"/>
      <c r="F136" s="16"/>
      <c r="G136" s="12" t="s">
        <v>183</v>
      </c>
      <c r="H136" s="16"/>
      <c r="I136" s="12"/>
      <c r="J136" s="12"/>
      <c r="K136" s="12"/>
      <c r="L136" s="12"/>
      <c r="M136" s="12"/>
      <c r="N136" s="12"/>
      <c r="O136" s="16"/>
      <c r="V136" s="16"/>
      <c r="W136" s="12"/>
      <c r="X136" s="12"/>
      <c r="Y136" s="12"/>
      <c r="Z136" s="12"/>
      <c r="AA136" s="12"/>
      <c r="AB136" s="12"/>
      <c r="AC136" s="16"/>
      <c r="AD136" s="12"/>
      <c r="AE136" s="12"/>
      <c r="AK136" s="16"/>
      <c r="AL136" s="12"/>
      <c r="AM136" s="12"/>
      <c r="AN136" s="12"/>
      <c r="AO136" s="16"/>
      <c r="AW136" s="16"/>
      <c r="BA136" s="17"/>
      <c r="BE136" s="17"/>
      <c r="BI136" s="16"/>
      <c r="BJ136" s="16"/>
    </row>
    <row r="137" spans="1:62" ht="15.75" customHeight="1" x14ac:dyDescent="0.15">
      <c r="A137" s="12">
        <v>3003</v>
      </c>
      <c r="B137" s="13"/>
      <c r="C137" s="14"/>
      <c r="D137" s="14"/>
      <c r="E137" s="15"/>
      <c r="F137" s="16"/>
      <c r="G137" s="12" t="s">
        <v>183</v>
      </c>
      <c r="H137" s="16"/>
      <c r="I137" s="12"/>
      <c r="J137" s="12"/>
      <c r="K137" s="12"/>
      <c r="L137" s="12"/>
      <c r="M137" s="12"/>
      <c r="N137" s="12"/>
      <c r="O137" s="16"/>
      <c r="V137" s="16"/>
      <c r="W137" s="12"/>
      <c r="X137" s="12"/>
      <c r="Y137" s="12"/>
      <c r="Z137" s="12"/>
      <c r="AA137" s="12"/>
      <c r="AB137" s="12"/>
      <c r="AC137" s="16"/>
      <c r="AD137" s="12"/>
      <c r="AE137" s="12"/>
      <c r="AK137" s="16"/>
      <c r="AL137" s="12"/>
      <c r="AM137" s="12"/>
      <c r="AN137" s="12"/>
      <c r="AO137" s="16"/>
      <c r="AW137" s="16"/>
      <c r="BA137" s="17"/>
      <c r="BE137" s="17"/>
      <c r="BI137" s="16"/>
      <c r="BJ137" s="16"/>
    </row>
    <row r="138" spans="1:62" ht="15.75" customHeight="1" x14ac:dyDescent="0.15">
      <c r="A138" s="12">
        <v>3004</v>
      </c>
      <c r="B138" s="13"/>
      <c r="C138" s="14"/>
      <c r="D138" s="14"/>
      <c r="E138" s="15"/>
      <c r="F138" s="16"/>
      <c r="G138" s="12" t="s">
        <v>184</v>
      </c>
      <c r="H138" s="16"/>
      <c r="I138" s="12"/>
      <c r="J138" s="12"/>
      <c r="K138" s="12"/>
      <c r="L138" s="12"/>
      <c r="M138" s="12"/>
      <c r="O138" s="16"/>
      <c r="V138" s="16"/>
      <c r="W138" s="12"/>
      <c r="X138" s="12"/>
      <c r="Y138" s="12"/>
      <c r="Z138" s="12"/>
      <c r="AA138" s="12"/>
      <c r="AB138" s="12"/>
      <c r="AC138" s="16"/>
      <c r="AD138" s="12"/>
      <c r="AE138" s="12"/>
      <c r="AK138" s="16"/>
      <c r="AO138" s="16"/>
      <c r="AW138" s="16"/>
      <c r="BA138" s="17"/>
      <c r="BE138" s="17"/>
      <c r="BI138" s="16"/>
      <c r="BJ138" s="16"/>
    </row>
    <row r="139" spans="1:62" ht="15.75" customHeight="1" x14ac:dyDescent="0.15">
      <c r="A139" s="12">
        <v>3005</v>
      </c>
      <c r="B139" s="13"/>
      <c r="C139" s="14"/>
      <c r="D139" s="14"/>
      <c r="E139" s="15"/>
      <c r="F139" s="16"/>
      <c r="G139" s="12" t="s">
        <v>184</v>
      </c>
      <c r="H139" s="16"/>
      <c r="I139" s="12"/>
      <c r="J139" s="12"/>
      <c r="K139" s="12"/>
      <c r="L139" s="12"/>
      <c r="M139" s="12"/>
      <c r="O139" s="16"/>
      <c r="V139" s="16"/>
      <c r="W139" s="12"/>
      <c r="X139" s="12"/>
      <c r="Y139" s="12"/>
      <c r="Z139" s="12"/>
      <c r="AA139" s="12"/>
      <c r="AB139" s="12"/>
      <c r="AC139" s="16"/>
      <c r="AD139" s="12"/>
      <c r="AE139" s="12"/>
      <c r="AK139" s="16"/>
      <c r="AO139" s="16"/>
      <c r="AW139" s="16"/>
      <c r="BA139" s="17"/>
      <c r="BE139" s="17"/>
      <c r="BI139" s="16"/>
      <c r="BJ139" s="16"/>
    </row>
    <row r="140" spans="1:62" ht="15.75" customHeight="1" x14ac:dyDescent="0.15">
      <c r="A140" s="12">
        <v>3006</v>
      </c>
      <c r="B140" s="13"/>
      <c r="C140" s="14"/>
      <c r="D140" s="14"/>
      <c r="E140" s="15"/>
      <c r="F140" s="16"/>
      <c r="G140" s="12" t="s">
        <v>184</v>
      </c>
      <c r="H140" s="16"/>
      <c r="I140" s="12"/>
      <c r="J140" s="12"/>
      <c r="K140" s="12"/>
      <c r="L140" s="12"/>
      <c r="M140" s="12"/>
      <c r="O140" s="16"/>
      <c r="V140" s="16"/>
      <c r="W140" s="12"/>
      <c r="X140" s="12"/>
      <c r="Y140" s="12"/>
      <c r="Z140" s="12"/>
      <c r="AA140" s="12"/>
      <c r="AB140" s="12"/>
      <c r="AC140" s="16"/>
      <c r="AD140" s="12"/>
      <c r="AE140" s="12"/>
      <c r="AK140" s="16"/>
      <c r="AO140" s="16"/>
      <c r="AW140" s="16"/>
      <c r="BA140" s="17"/>
      <c r="BE140" s="17"/>
      <c r="BI140" s="16"/>
      <c r="BJ140" s="16"/>
    </row>
    <row r="141" spans="1:62" ht="15.75" customHeight="1" x14ac:dyDescent="0.15">
      <c r="A141" s="12">
        <v>3007</v>
      </c>
      <c r="B141" s="13"/>
      <c r="C141" s="14"/>
      <c r="D141" s="14"/>
      <c r="E141" s="15"/>
      <c r="F141" s="16"/>
      <c r="G141" s="12" t="s">
        <v>184</v>
      </c>
      <c r="H141" s="16"/>
      <c r="I141" s="12"/>
      <c r="J141" s="12"/>
      <c r="K141" s="12"/>
      <c r="L141" s="12"/>
      <c r="M141" s="12"/>
      <c r="O141" s="16"/>
      <c r="V141" s="16"/>
      <c r="W141" s="12"/>
      <c r="X141" s="12"/>
      <c r="Y141" s="12"/>
      <c r="Z141" s="12"/>
      <c r="AA141" s="12"/>
      <c r="AB141" s="12"/>
      <c r="AC141" s="16"/>
      <c r="AD141" s="12"/>
      <c r="AE141" s="12"/>
      <c r="AK141" s="16"/>
      <c r="AO141" s="16"/>
      <c r="AW141" s="16"/>
      <c r="BA141" s="17"/>
      <c r="BE141" s="17"/>
      <c r="BI141" s="16"/>
      <c r="BJ141" s="16"/>
    </row>
    <row r="142" spans="1:62" ht="15.75" customHeight="1" x14ac:dyDescent="0.15">
      <c r="A142" s="12">
        <v>3008</v>
      </c>
      <c r="B142" s="13"/>
      <c r="C142" s="14"/>
      <c r="E142" s="15"/>
      <c r="F142" s="16"/>
      <c r="G142" s="12" t="s">
        <v>184</v>
      </c>
      <c r="H142" s="16"/>
      <c r="I142" s="12"/>
      <c r="J142" s="12"/>
      <c r="K142" s="12"/>
      <c r="L142" s="12"/>
      <c r="M142" s="12"/>
      <c r="O142" s="16"/>
      <c r="V142" s="16"/>
      <c r="W142" s="12"/>
      <c r="X142" s="12"/>
      <c r="Y142" s="12"/>
      <c r="Z142" s="12"/>
      <c r="AA142" s="12"/>
      <c r="AB142" s="12"/>
      <c r="AC142" s="16"/>
      <c r="AD142" s="12"/>
      <c r="AE142" s="12"/>
      <c r="AK142" s="16"/>
      <c r="AO142" s="16"/>
      <c r="AW142" s="16"/>
      <c r="BA142" s="17"/>
      <c r="BE142" s="17"/>
      <c r="BI142" s="16"/>
      <c r="BJ142" s="16"/>
    </row>
    <row r="143" spans="1:62" ht="15.75" customHeight="1" x14ac:dyDescent="0.15">
      <c r="A143" s="12">
        <v>3009</v>
      </c>
      <c r="B143" s="13"/>
      <c r="C143" s="14"/>
      <c r="D143" s="14"/>
      <c r="E143" s="15"/>
      <c r="F143" s="16"/>
      <c r="G143" s="12" t="s">
        <v>184</v>
      </c>
      <c r="H143" s="16"/>
      <c r="I143" s="12"/>
      <c r="J143" s="12"/>
      <c r="K143" s="12"/>
      <c r="L143" s="12"/>
      <c r="M143" s="12"/>
      <c r="O143" s="16"/>
      <c r="V143" s="16"/>
      <c r="W143" s="12"/>
      <c r="X143" s="12"/>
      <c r="Y143" s="12"/>
      <c r="Z143" s="12"/>
      <c r="AA143" s="12"/>
      <c r="AB143" s="12"/>
      <c r="AC143" s="16"/>
      <c r="AD143" s="12"/>
      <c r="AE143" s="12"/>
      <c r="AK143" s="16"/>
      <c r="AO143" s="16"/>
      <c r="AW143" s="16"/>
      <c r="BA143" s="17"/>
      <c r="BE143" s="17"/>
      <c r="BI143" s="16"/>
      <c r="BJ143" s="16"/>
    </row>
    <row r="144" spans="1:62" ht="15.75" customHeight="1" x14ac:dyDescent="0.15">
      <c r="A144" s="12"/>
      <c r="B144" s="13"/>
      <c r="C144" s="14"/>
      <c r="D144" s="14"/>
      <c r="E144" s="15"/>
      <c r="F144" s="16"/>
      <c r="G144" s="12"/>
      <c r="H144" s="16"/>
      <c r="I144" s="12"/>
      <c r="J144" s="12"/>
      <c r="K144" s="12"/>
      <c r="L144" s="12"/>
      <c r="M144" s="12"/>
      <c r="O144" s="16"/>
      <c r="V144" s="16"/>
      <c r="W144" s="12"/>
      <c r="X144" s="12"/>
      <c r="Y144" s="12"/>
      <c r="Z144" s="12"/>
      <c r="AA144" s="12"/>
      <c r="AB144" s="12"/>
      <c r="AC144" s="16"/>
      <c r="AD144" s="12"/>
      <c r="AE144" s="12"/>
      <c r="AK144" s="16"/>
      <c r="AO144" s="16"/>
      <c r="AW144" s="16"/>
      <c r="BA144" s="17"/>
      <c r="BE144" s="17"/>
      <c r="BI144" s="16"/>
      <c r="BJ144" s="16"/>
    </row>
    <row r="145" spans="1:62" ht="15.75" customHeight="1" x14ac:dyDescent="0.15">
      <c r="A145" s="12"/>
      <c r="B145" s="13"/>
      <c r="C145" s="14"/>
      <c r="D145" s="14"/>
      <c r="E145" s="15"/>
      <c r="F145" s="16"/>
      <c r="G145" s="12"/>
      <c r="H145" s="16"/>
      <c r="I145" s="12"/>
      <c r="J145" s="12"/>
      <c r="K145" s="12"/>
      <c r="L145" s="12"/>
      <c r="M145" s="12"/>
      <c r="O145" s="16"/>
      <c r="V145" s="16"/>
      <c r="W145" s="12"/>
      <c r="X145" s="12"/>
      <c r="Y145" s="12"/>
      <c r="Z145" s="12"/>
      <c r="AA145" s="12"/>
      <c r="AB145" s="12"/>
      <c r="AC145" s="16"/>
      <c r="AD145" s="12"/>
      <c r="AE145" s="12"/>
      <c r="AK145" s="16"/>
      <c r="AO145" s="16"/>
      <c r="AW145" s="16"/>
      <c r="BA145" s="17"/>
      <c r="BE145" s="17"/>
      <c r="BI145" s="16"/>
      <c r="BJ145" s="16"/>
    </row>
    <row r="146" spans="1:62" ht="15.75" customHeight="1" x14ac:dyDescent="0.15">
      <c r="A146" s="12"/>
      <c r="B146" s="13"/>
      <c r="C146" s="14"/>
      <c r="D146" s="14"/>
      <c r="E146" s="15"/>
      <c r="F146" s="16"/>
      <c r="G146" s="12"/>
      <c r="H146" s="16"/>
      <c r="I146" s="12"/>
      <c r="J146" s="12"/>
      <c r="K146" s="12"/>
      <c r="L146" s="12"/>
      <c r="M146" s="12"/>
      <c r="O146" s="16"/>
      <c r="V146" s="16"/>
      <c r="W146" s="12"/>
      <c r="X146" s="12"/>
      <c r="Y146" s="12"/>
      <c r="Z146" s="12"/>
      <c r="AA146" s="12"/>
      <c r="AB146" s="12"/>
      <c r="AC146" s="16"/>
      <c r="AD146" s="12"/>
      <c r="AE146" s="12"/>
      <c r="AK146" s="16"/>
      <c r="AO146" s="16"/>
      <c r="AW146" s="16"/>
      <c r="BA146" s="17"/>
      <c r="BE146" s="17"/>
      <c r="BI146" s="16"/>
      <c r="BJ146" s="16"/>
    </row>
    <row r="147" spans="1:62" ht="15.75" customHeight="1" x14ac:dyDescent="0.15">
      <c r="A147" s="12"/>
      <c r="B147" s="13"/>
      <c r="C147" s="14"/>
      <c r="D147" s="14"/>
      <c r="E147" s="15"/>
      <c r="F147" s="16"/>
      <c r="G147" s="12"/>
      <c r="H147" s="16"/>
      <c r="I147" s="12"/>
      <c r="J147" s="12"/>
      <c r="K147" s="12"/>
      <c r="L147" s="12"/>
      <c r="M147" s="12"/>
      <c r="O147" s="16"/>
      <c r="V147" s="16"/>
      <c r="W147" s="12"/>
      <c r="X147" s="12"/>
      <c r="Y147" s="12"/>
      <c r="Z147" s="12"/>
      <c r="AA147" s="12"/>
      <c r="AB147" s="12"/>
      <c r="AC147" s="16"/>
      <c r="AD147" s="12"/>
      <c r="AE147" s="12"/>
      <c r="AK147" s="16"/>
      <c r="AO147" s="16"/>
      <c r="AW147" s="16"/>
      <c r="BA147" s="17"/>
      <c r="BE147" s="17"/>
      <c r="BI147" s="16"/>
      <c r="BJ147" s="16"/>
    </row>
    <row r="148" spans="1:62" ht="15.75" customHeight="1" x14ac:dyDescent="0.15">
      <c r="A148" s="12"/>
      <c r="B148" s="13"/>
      <c r="C148" s="14"/>
      <c r="D148" s="14"/>
      <c r="E148" s="15"/>
      <c r="F148" s="16"/>
      <c r="G148" s="12"/>
      <c r="H148" s="16"/>
      <c r="I148" s="12"/>
      <c r="J148" s="12"/>
      <c r="K148" s="12"/>
      <c r="L148" s="12"/>
      <c r="M148" s="12"/>
      <c r="O148" s="16"/>
      <c r="V148" s="16"/>
      <c r="W148" s="12"/>
      <c r="X148" s="12"/>
      <c r="Y148" s="12"/>
      <c r="Z148" s="12"/>
      <c r="AA148" s="12"/>
      <c r="AB148" s="12"/>
      <c r="AC148" s="16"/>
      <c r="AD148" s="12"/>
      <c r="AE148" s="12"/>
      <c r="AK148" s="16"/>
      <c r="AO148" s="16"/>
      <c r="AW148" s="16"/>
      <c r="BA148" s="17"/>
      <c r="BE148" s="17"/>
      <c r="BI148" s="16"/>
      <c r="BJ148" s="16"/>
    </row>
    <row r="149" spans="1:62" ht="15.75" customHeight="1" x14ac:dyDescent="0.15">
      <c r="A149" s="12"/>
      <c r="B149" s="13"/>
      <c r="C149" s="14"/>
      <c r="D149" s="14"/>
      <c r="E149" s="15"/>
      <c r="F149" s="16"/>
      <c r="G149" s="12"/>
      <c r="H149" s="16"/>
      <c r="I149" s="12"/>
      <c r="J149" s="12"/>
      <c r="K149" s="12"/>
      <c r="L149" s="12"/>
      <c r="M149" s="12"/>
      <c r="O149" s="16"/>
      <c r="V149" s="16"/>
      <c r="W149" s="12"/>
      <c r="X149" s="12"/>
      <c r="Y149" s="12"/>
      <c r="Z149" s="12"/>
      <c r="AA149" s="12"/>
      <c r="AB149" s="12"/>
      <c r="AC149" s="16"/>
      <c r="AD149" s="12"/>
      <c r="AE149" s="12"/>
      <c r="AK149" s="16"/>
      <c r="AO149" s="16"/>
      <c r="AW149" s="16"/>
      <c r="BA149" s="17"/>
      <c r="BE149" s="17"/>
      <c r="BI149" s="16"/>
      <c r="BJ149" s="16"/>
    </row>
    <row r="150" spans="1:62" ht="15.75" customHeight="1" x14ac:dyDescent="0.15">
      <c r="A150" s="12"/>
      <c r="B150" s="13"/>
      <c r="C150" s="14"/>
      <c r="D150" s="14"/>
      <c r="E150" s="15"/>
      <c r="F150" s="16"/>
      <c r="G150" s="12"/>
      <c r="H150" s="16"/>
      <c r="I150" s="12"/>
      <c r="J150" s="12"/>
      <c r="K150" s="12"/>
      <c r="L150" s="12"/>
      <c r="M150" s="12"/>
      <c r="O150" s="16"/>
      <c r="V150" s="16"/>
      <c r="W150" s="12"/>
      <c r="X150" s="12"/>
      <c r="Y150" s="12"/>
      <c r="Z150" s="12"/>
      <c r="AA150" s="12"/>
      <c r="AB150" s="12"/>
      <c r="AC150" s="16"/>
      <c r="AD150" s="12"/>
      <c r="AE150" s="12"/>
      <c r="AK150" s="16"/>
      <c r="AO150" s="16"/>
      <c r="AW150" s="16"/>
      <c r="BA150" s="17"/>
      <c r="BE150" s="17"/>
      <c r="BI150" s="16"/>
      <c r="BJ150" s="16"/>
    </row>
    <row r="151" spans="1:62" ht="15.75" customHeight="1" x14ac:dyDescent="0.15">
      <c r="A151" s="12"/>
      <c r="B151" s="13"/>
      <c r="C151" s="14"/>
      <c r="D151" s="14"/>
      <c r="E151" s="15"/>
      <c r="F151" s="16"/>
      <c r="G151" s="12"/>
      <c r="H151" s="16"/>
      <c r="I151" s="12"/>
      <c r="J151" s="12"/>
      <c r="K151" s="12"/>
      <c r="L151" s="12"/>
      <c r="M151" s="12"/>
      <c r="O151" s="16"/>
      <c r="V151" s="16"/>
      <c r="W151" s="12"/>
      <c r="X151" s="12"/>
      <c r="Y151" s="12"/>
      <c r="Z151" s="12"/>
      <c r="AA151" s="12"/>
      <c r="AB151" s="12"/>
      <c r="AC151" s="16"/>
      <c r="AD151" s="12"/>
      <c r="AE151" s="12"/>
      <c r="AK151" s="16"/>
      <c r="AO151" s="16"/>
      <c r="AW151" s="16"/>
      <c r="BA151" s="17"/>
      <c r="BE151" s="17"/>
      <c r="BI151" s="16"/>
      <c r="BJ151" s="16"/>
    </row>
    <row r="152" spans="1:62" ht="15.75" customHeight="1" x14ac:dyDescent="0.15">
      <c r="A152" s="12"/>
      <c r="B152" s="13"/>
      <c r="C152" s="14"/>
      <c r="D152" s="14"/>
      <c r="E152" s="15"/>
      <c r="F152" s="16"/>
      <c r="G152" s="12"/>
      <c r="H152" s="16"/>
      <c r="I152" s="12"/>
      <c r="J152" s="12"/>
      <c r="K152" s="12"/>
      <c r="L152" s="12"/>
      <c r="M152" s="12"/>
      <c r="O152" s="16"/>
      <c r="V152" s="16"/>
      <c r="W152" s="12"/>
      <c r="X152" s="12"/>
      <c r="Y152" s="12"/>
      <c r="Z152" s="12"/>
      <c r="AA152" s="12"/>
      <c r="AB152" s="12"/>
      <c r="AC152" s="16"/>
      <c r="AD152" s="12"/>
      <c r="AE152" s="12"/>
      <c r="AK152" s="16"/>
      <c r="AO152" s="16"/>
      <c r="AW152" s="16"/>
      <c r="BA152" s="17"/>
      <c r="BE152" s="17"/>
      <c r="BI152" s="16"/>
      <c r="BJ152" s="16"/>
    </row>
    <row r="153" spans="1:62" ht="15.75" customHeight="1" x14ac:dyDescent="0.15">
      <c r="A153" s="12"/>
      <c r="B153" s="13"/>
      <c r="C153" s="14"/>
      <c r="D153" s="14"/>
      <c r="E153" s="15"/>
      <c r="F153" s="16"/>
      <c r="G153" s="12"/>
      <c r="H153" s="16"/>
      <c r="I153" s="12"/>
      <c r="J153" s="12"/>
      <c r="K153" s="12"/>
      <c r="L153" s="12"/>
      <c r="M153" s="12"/>
      <c r="O153" s="16"/>
      <c r="V153" s="16"/>
      <c r="W153" s="12"/>
      <c r="X153" s="12"/>
      <c r="Y153" s="12"/>
      <c r="Z153" s="12"/>
      <c r="AA153" s="12"/>
      <c r="AB153" s="12"/>
      <c r="AC153" s="16"/>
      <c r="AD153" s="12"/>
      <c r="AE153" s="12"/>
      <c r="AK153" s="16"/>
      <c r="AO153" s="16"/>
      <c r="AW153" s="16"/>
      <c r="BA153" s="17"/>
      <c r="BE153" s="17"/>
      <c r="BI153" s="16"/>
      <c r="BJ153" s="16"/>
    </row>
    <row r="154" spans="1:62" ht="15.75" customHeight="1" x14ac:dyDescent="0.15">
      <c r="A154" s="12"/>
      <c r="B154" s="13"/>
      <c r="C154" s="14"/>
      <c r="D154" s="14"/>
      <c r="E154" s="15"/>
      <c r="F154" s="16"/>
      <c r="G154" s="12"/>
      <c r="H154" s="16"/>
      <c r="I154" s="12"/>
      <c r="J154" s="12"/>
      <c r="K154" s="12"/>
      <c r="L154" s="12"/>
      <c r="M154" s="12"/>
      <c r="O154" s="16"/>
      <c r="V154" s="16"/>
      <c r="W154" s="12"/>
      <c r="X154" s="12"/>
      <c r="Y154" s="12"/>
      <c r="Z154" s="12"/>
      <c r="AA154" s="12"/>
      <c r="AB154" s="12"/>
      <c r="AC154" s="16"/>
      <c r="AD154" s="12"/>
      <c r="AE154" s="12"/>
      <c r="AK154" s="16"/>
      <c r="AO154" s="16"/>
      <c r="AW154" s="16"/>
      <c r="BA154" s="17"/>
      <c r="BE154" s="17"/>
      <c r="BI154" s="16"/>
      <c r="BJ154" s="16"/>
    </row>
    <row r="155" spans="1:62" ht="15.75" customHeight="1" x14ac:dyDescent="0.15">
      <c r="A155" s="12"/>
      <c r="B155" s="13"/>
      <c r="C155" s="14"/>
      <c r="D155" s="14"/>
      <c r="E155" s="15"/>
      <c r="F155" s="16"/>
      <c r="G155" s="12"/>
      <c r="H155" s="16"/>
      <c r="I155" s="12"/>
      <c r="J155" s="12"/>
      <c r="K155" s="12"/>
      <c r="L155" s="12"/>
      <c r="M155" s="12"/>
      <c r="O155" s="16"/>
      <c r="V155" s="16"/>
      <c r="W155" s="12"/>
      <c r="X155" s="12"/>
      <c r="Y155" s="12"/>
      <c r="Z155" s="12"/>
      <c r="AA155" s="12"/>
      <c r="AB155" s="12"/>
      <c r="AC155" s="16"/>
      <c r="AD155" s="12"/>
      <c r="AE155" s="12"/>
      <c r="AK155" s="16"/>
      <c r="AO155" s="16"/>
      <c r="AW155" s="16"/>
      <c r="BA155" s="17"/>
      <c r="BE155" s="17"/>
      <c r="BI155" s="16"/>
      <c r="BJ155" s="16"/>
    </row>
    <row r="156" spans="1:62" ht="15.75" customHeight="1" x14ac:dyDescent="0.15">
      <c r="A156" s="12"/>
      <c r="B156" s="13"/>
      <c r="C156" s="14"/>
      <c r="D156" s="14"/>
      <c r="E156" s="15"/>
      <c r="F156" s="16"/>
      <c r="G156" s="12"/>
      <c r="H156" s="16"/>
      <c r="I156" s="12"/>
      <c r="J156" s="12"/>
      <c r="K156" s="12"/>
      <c r="L156" s="12"/>
      <c r="M156" s="12"/>
      <c r="O156" s="16"/>
      <c r="V156" s="16"/>
      <c r="W156" s="12"/>
      <c r="X156" s="12"/>
      <c r="Y156" s="12"/>
      <c r="Z156" s="12"/>
      <c r="AA156" s="12"/>
      <c r="AB156" s="12"/>
      <c r="AC156" s="16"/>
      <c r="AD156" s="12"/>
      <c r="AE156" s="12"/>
      <c r="AK156" s="16"/>
      <c r="AO156" s="16"/>
      <c r="AW156" s="16"/>
      <c r="BA156" s="17"/>
      <c r="BE156" s="17"/>
      <c r="BI156" s="16"/>
      <c r="BJ156" s="16"/>
    </row>
    <row r="157" spans="1:62" ht="15.75" customHeight="1" x14ac:dyDescent="0.15">
      <c r="A157" s="12"/>
      <c r="B157" s="13"/>
      <c r="C157" s="14"/>
      <c r="D157" s="14"/>
      <c r="E157" s="15"/>
      <c r="F157" s="16"/>
      <c r="G157" s="12"/>
      <c r="H157" s="16"/>
      <c r="I157" s="12"/>
      <c r="J157" s="12"/>
      <c r="K157" s="12"/>
      <c r="L157" s="12"/>
      <c r="M157" s="12"/>
      <c r="O157" s="16"/>
      <c r="V157" s="16"/>
      <c r="W157" s="12"/>
      <c r="X157" s="12"/>
      <c r="Y157" s="12"/>
      <c r="Z157" s="12"/>
      <c r="AA157" s="12"/>
      <c r="AB157" s="12"/>
      <c r="AC157" s="16"/>
      <c r="AD157" s="12"/>
      <c r="AE157" s="12"/>
      <c r="AK157" s="16"/>
      <c r="AO157" s="16"/>
      <c r="AW157" s="16"/>
      <c r="BA157" s="17"/>
      <c r="BE157" s="17"/>
      <c r="BI157" s="16"/>
      <c r="BJ157" s="16"/>
    </row>
    <row r="158" spans="1:62" ht="15.75" customHeight="1" x14ac:dyDescent="0.15">
      <c r="A158" s="12"/>
      <c r="B158" s="13"/>
      <c r="C158" s="14"/>
      <c r="D158" s="14"/>
      <c r="E158" s="15"/>
      <c r="F158" s="16"/>
      <c r="G158" s="12"/>
      <c r="H158" s="16"/>
      <c r="I158" s="12"/>
      <c r="J158" s="12"/>
      <c r="K158" s="12"/>
      <c r="L158" s="12"/>
      <c r="M158" s="12"/>
      <c r="O158" s="16"/>
      <c r="V158" s="16"/>
      <c r="W158" s="12"/>
      <c r="X158" s="12"/>
      <c r="Y158" s="12"/>
      <c r="Z158" s="12"/>
      <c r="AA158" s="12"/>
      <c r="AB158" s="12"/>
      <c r="AC158" s="16"/>
      <c r="AD158" s="12"/>
      <c r="AE158" s="12"/>
      <c r="AK158" s="16"/>
      <c r="AO158" s="16"/>
      <c r="AW158" s="16"/>
      <c r="BA158" s="17"/>
      <c r="BE158" s="17"/>
      <c r="BI158" s="16"/>
      <c r="BJ158" s="16"/>
    </row>
    <row r="159" spans="1:62" ht="15.75" customHeight="1" x14ac:dyDescent="0.15">
      <c r="A159" s="12"/>
      <c r="B159" s="13"/>
      <c r="C159" s="14"/>
      <c r="D159" s="14"/>
      <c r="E159" s="15"/>
      <c r="F159" s="16"/>
      <c r="G159" s="12"/>
      <c r="H159" s="16"/>
      <c r="I159" s="12"/>
      <c r="J159" s="12"/>
      <c r="K159" s="12"/>
      <c r="L159" s="12"/>
      <c r="M159" s="12"/>
      <c r="O159" s="16"/>
      <c r="V159" s="16"/>
      <c r="W159" s="12"/>
      <c r="X159" s="12"/>
      <c r="Y159" s="12"/>
      <c r="Z159" s="12"/>
      <c r="AA159" s="12"/>
      <c r="AB159" s="12"/>
      <c r="AC159" s="16"/>
      <c r="AD159" s="12"/>
      <c r="AE159" s="12"/>
      <c r="AK159" s="16"/>
      <c r="AO159" s="16"/>
      <c r="AW159" s="16"/>
      <c r="BA159" s="17"/>
      <c r="BE159" s="17"/>
      <c r="BI159" s="16"/>
      <c r="BJ159" s="16"/>
    </row>
    <row r="160" spans="1:62" ht="15.75" customHeight="1" x14ac:dyDescent="0.15">
      <c r="A160" s="12"/>
      <c r="B160" s="13"/>
      <c r="C160" s="14"/>
      <c r="D160" s="14"/>
      <c r="E160" s="15"/>
      <c r="F160" s="16"/>
      <c r="G160" s="12"/>
      <c r="H160" s="16"/>
      <c r="I160" s="12"/>
      <c r="J160" s="12"/>
      <c r="K160" s="12"/>
      <c r="L160" s="12"/>
      <c r="M160" s="12"/>
      <c r="O160" s="16"/>
      <c r="V160" s="16"/>
      <c r="W160" s="12"/>
      <c r="X160" s="12"/>
      <c r="Y160" s="12"/>
      <c r="Z160" s="12"/>
      <c r="AA160" s="12"/>
      <c r="AB160" s="12"/>
      <c r="AC160" s="16"/>
      <c r="AD160" s="12"/>
      <c r="AE160" s="12"/>
      <c r="AK160" s="16"/>
      <c r="AO160" s="16"/>
      <c r="AW160" s="16"/>
      <c r="BA160" s="17"/>
      <c r="BE160" s="17"/>
      <c r="BI160" s="16"/>
      <c r="BJ160" s="16"/>
    </row>
    <row r="161" spans="1:62" ht="15.75" customHeight="1" x14ac:dyDescent="0.15">
      <c r="A161" s="12"/>
      <c r="B161" s="13"/>
      <c r="C161" s="14"/>
      <c r="D161" s="14"/>
      <c r="E161" s="15"/>
      <c r="F161" s="16"/>
      <c r="G161" s="12"/>
      <c r="H161" s="16"/>
      <c r="I161" s="12"/>
      <c r="J161" s="12"/>
      <c r="K161" s="12"/>
      <c r="L161" s="12"/>
      <c r="M161" s="12"/>
      <c r="O161" s="16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2"/>
      <c r="AA161" s="12"/>
      <c r="AB161" s="12"/>
      <c r="AC161" s="16"/>
      <c r="AD161" s="12"/>
      <c r="AE161" s="12"/>
      <c r="AF161" s="12"/>
      <c r="AG161" s="12"/>
      <c r="AK161" s="16"/>
      <c r="AL161" s="12"/>
      <c r="AM161" s="12"/>
      <c r="AN161" s="12"/>
      <c r="AO161" s="16"/>
      <c r="AP161" s="12"/>
      <c r="AQ161" s="12"/>
      <c r="AR161" s="12"/>
      <c r="AS161" s="12"/>
      <c r="AT161" s="12"/>
      <c r="AU161" s="12"/>
      <c r="AV161" s="12"/>
      <c r="AW161" s="16"/>
      <c r="BA161" s="17"/>
      <c r="BE161" s="17"/>
      <c r="BI161" s="16"/>
      <c r="BJ161" s="16"/>
    </row>
    <row r="162" spans="1:62" ht="15.75" customHeight="1" x14ac:dyDescent="0.15">
      <c r="A162" s="12"/>
      <c r="B162" s="13"/>
      <c r="C162" s="14"/>
      <c r="D162" s="14"/>
      <c r="E162" s="15"/>
      <c r="F162" s="16"/>
      <c r="G162" s="12"/>
      <c r="H162" s="16"/>
      <c r="I162" s="12"/>
      <c r="J162" s="12"/>
      <c r="K162" s="12"/>
      <c r="L162" s="12"/>
      <c r="M162" s="12"/>
      <c r="O162" s="16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2"/>
      <c r="AA162" s="12"/>
      <c r="AB162" s="12"/>
      <c r="AC162" s="16"/>
      <c r="AD162" s="12"/>
      <c r="AE162" s="12"/>
      <c r="AF162" s="12"/>
      <c r="AG162" s="12"/>
      <c r="AK162" s="16"/>
      <c r="AL162" s="12"/>
      <c r="AM162" s="12"/>
      <c r="AN162" s="12"/>
      <c r="AO162" s="16"/>
      <c r="AP162" s="12"/>
      <c r="AQ162" s="12"/>
      <c r="AR162" s="12"/>
      <c r="AS162" s="12"/>
      <c r="AT162" s="12"/>
      <c r="AU162" s="12"/>
      <c r="AV162" s="12"/>
      <c r="AW162" s="16"/>
      <c r="BA162" s="17"/>
      <c r="BE162" s="17"/>
      <c r="BI162" s="16"/>
      <c r="BJ162" s="16"/>
    </row>
    <row r="163" spans="1:62" ht="15.75" customHeight="1" x14ac:dyDescent="0.15">
      <c r="A163" s="12"/>
      <c r="B163" s="13"/>
      <c r="C163" s="14"/>
      <c r="D163" s="14"/>
      <c r="E163" s="15"/>
      <c r="F163" s="16"/>
      <c r="G163" s="12"/>
      <c r="H163" s="16"/>
      <c r="I163" s="12"/>
      <c r="J163" s="12"/>
      <c r="K163" s="12"/>
      <c r="L163" s="12"/>
      <c r="M163" s="12"/>
      <c r="O163" s="16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2"/>
      <c r="AA163" s="12"/>
      <c r="AB163" s="12"/>
      <c r="AC163" s="16"/>
      <c r="AD163" s="12"/>
      <c r="AE163" s="12"/>
      <c r="AF163" s="12"/>
      <c r="AG163" s="12"/>
      <c r="AK163" s="16"/>
      <c r="AL163" s="12"/>
      <c r="AM163" s="12"/>
      <c r="AN163" s="12"/>
      <c r="AO163" s="16"/>
      <c r="AP163" s="12"/>
      <c r="AQ163" s="12"/>
      <c r="AR163" s="12"/>
      <c r="AS163" s="12"/>
      <c r="AT163" s="12"/>
      <c r="AU163" s="12"/>
      <c r="AV163" s="12"/>
      <c r="AW163" s="16"/>
      <c r="AX163" s="12"/>
      <c r="BA163" s="17"/>
      <c r="BE163" s="17"/>
      <c r="BI163" s="16"/>
      <c r="BJ163" s="16"/>
    </row>
    <row r="164" spans="1:62" ht="15.75" customHeight="1" x14ac:dyDescent="0.15">
      <c r="A164" s="12"/>
      <c r="B164" s="13"/>
      <c r="C164" s="14"/>
      <c r="D164" s="14"/>
      <c r="E164" s="15"/>
      <c r="F164" s="16"/>
      <c r="G164" s="12"/>
      <c r="H164" s="16"/>
      <c r="I164" s="12"/>
      <c r="J164" s="12"/>
      <c r="K164" s="12"/>
      <c r="L164" s="12"/>
      <c r="M164" s="12"/>
      <c r="O164" s="16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2"/>
      <c r="AA164" s="12"/>
      <c r="AB164" s="12"/>
      <c r="AC164" s="16"/>
      <c r="AD164" s="12"/>
      <c r="AE164" s="12"/>
      <c r="AF164" s="12"/>
      <c r="AG164" s="12"/>
      <c r="AK164" s="16"/>
      <c r="AL164" s="12"/>
      <c r="AM164" s="12"/>
      <c r="AN164" s="12"/>
      <c r="AO164" s="16"/>
      <c r="AP164" s="12"/>
      <c r="AQ164" s="12"/>
      <c r="AR164" s="12"/>
      <c r="AS164" s="12"/>
      <c r="AT164" s="12"/>
      <c r="AU164" s="12"/>
      <c r="AV164" s="12"/>
      <c r="AW164" s="16"/>
      <c r="AX164" s="12"/>
      <c r="AY164" s="12"/>
      <c r="AZ164" s="12"/>
      <c r="BA164" s="17"/>
      <c r="BE164" s="17"/>
      <c r="BF164" s="12"/>
      <c r="BG164" s="12"/>
      <c r="BH164" s="12"/>
      <c r="BI164" s="16"/>
      <c r="BJ164" s="16"/>
    </row>
    <row r="165" spans="1:62" ht="15.75" customHeight="1" x14ac:dyDescent="0.15">
      <c r="A165" s="12"/>
      <c r="B165" s="13"/>
      <c r="C165" s="14"/>
      <c r="D165" s="14"/>
      <c r="E165" s="15"/>
      <c r="F165" s="16"/>
      <c r="G165" s="12"/>
      <c r="H165" s="16"/>
      <c r="I165" s="12"/>
      <c r="J165" s="12"/>
      <c r="M165" s="12"/>
      <c r="O165" s="16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2"/>
      <c r="AB165" s="12"/>
      <c r="AC165" s="16"/>
      <c r="AD165" s="12"/>
      <c r="AE165" s="12"/>
      <c r="AF165" s="12"/>
      <c r="AG165" s="12"/>
      <c r="AK165" s="16"/>
      <c r="AL165" s="12"/>
      <c r="AM165" s="12"/>
      <c r="AN165" s="12"/>
      <c r="AO165" s="16"/>
      <c r="AP165" s="12"/>
      <c r="AQ165" s="12"/>
      <c r="AR165" s="12"/>
      <c r="AS165" s="12"/>
      <c r="AT165" s="12"/>
      <c r="AU165" s="12"/>
      <c r="AV165" s="12"/>
      <c r="AW165" s="16"/>
      <c r="BA165" s="17"/>
      <c r="BE165" s="17"/>
      <c r="BF165" s="12"/>
      <c r="BG165" s="12"/>
      <c r="BH165" s="12"/>
      <c r="BI165" s="16"/>
      <c r="BJ165" s="16"/>
    </row>
    <row r="166" spans="1:62" ht="15.75" customHeight="1" x14ac:dyDescent="0.15">
      <c r="A166" s="12"/>
      <c r="B166" s="13"/>
      <c r="C166" s="14"/>
      <c r="D166" s="14"/>
      <c r="E166" s="15"/>
      <c r="F166" s="16"/>
      <c r="G166" s="12"/>
      <c r="H166" s="16"/>
      <c r="I166" s="12"/>
      <c r="J166" s="12"/>
      <c r="M166" s="12"/>
      <c r="O166" s="16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2"/>
      <c r="AB166" s="12"/>
      <c r="AC166" s="16"/>
      <c r="AD166" s="12"/>
      <c r="AE166" s="12"/>
      <c r="AF166" s="12"/>
      <c r="AG166" s="12"/>
      <c r="AK166" s="16"/>
      <c r="AL166" s="12"/>
      <c r="AM166" s="12"/>
      <c r="AN166" s="12"/>
      <c r="AO166" s="16"/>
      <c r="AP166" s="12"/>
      <c r="AQ166" s="12"/>
      <c r="AR166" s="12"/>
      <c r="AS166" s="12"/>
      <c r="AT166" s="12"/>
      <c r="AU166" s="12"/>
      <c r="AV166" s="12"/>
      <c r="AW166" s="16"/>
      <c r="AX166" s="12"/>
      <c r="BA166" s="17"/>
      <c r="BB166" s="12"/>
      <c r="BC166" s="12"/>
      <c r="BE166" s="17"/>
      <c r="BF166" s="12"/>
      <c r="BG166" s="12"/>
      <c r="BH166" s="12"/>
      <c r="BI166" s="16"/>
      <c r="BJ166" s="16"/>
    </row>
    <row r="167" spans="1:62" ht="15.75" customHeight="1" x14ac:dyDescent="0.15">
      <c r="A167" s="12"/>
      <c r="B167" s="13"/>
      <c r="C167" s="14"/>
      <c r="D167" s="14"/>
      <c r="E167" s="15"/>
      <c r="F167" s="16"/>
      <c r="G167" s="12"/>
      <c r="H167" s="16"/>
      <c r="I167" s="12"/>
      <c r="J167" s="12"/>
      <c r="M167" s="12"/>
      <c r="O167" s="16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2"/>
      <c r="AB167" s="12"/>
      <c r="AC167" s="16"/>
      <c r="AD167" s="12"/>
      <c r="AE167" s="12"/>
      <c r="AF167" s="12"/>
      <c r="AG167" s="12"/>
      <c r="AK167" s="16"/>
      <c r="AL167" s="12"/>
      <c r="AM167" s="12"/>
      <c r="AN167" s="12"/>
      <c r="AO167" s="16"/>
      <c r="AP167" s="12"/>
      <c r="AQ167" s="12"/>
      <c r="AR167" s="12"/>
      <c r="AS167" s="12"/>
      <c r="AT167" s="12"/>
      <c r="AU167" s="12"/>
      <c r="AV167" s="12"/>
      <c r="AW167" s="16"/>
      <c r="BA167" s="17"/>
      <c r="BB167" s="12"/>
      <c r="BC167" s="12"/>
      <c r="BD167" s="12"/>
      <c r="BE167" s="17"/>
      <c r="BF167" s="12"/>
      <c r="BG167" s="12"/>
      <c r="BI167" s="16"/>
      <c r="BJ167" s="16"/>
    </row>
    <row r="168" spans="1:62" ht="15.75" customHeight="1" x14ac:dyDescent="0.15">
      <c r="A168" s="12"/>
      <c r="B168" s="13"/>
      <c r="C168" s="14"/>
      <c r="D168" s="14"/>
      <c r="E168" s="15"/>
      <c r="F168" s="16"/>
      <c r="G168" s="12"/>
      <c r="H168" s="16"/>
      <c r="I168" s="12"/>
      <c r="J168" s="12"/>
      <c r="M168" s="12"/>
      <c r="O168" s="16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2"/>
      <c r="AB168" s="12"/>
      <c r="AC168" s="16"/>
      <c r="AD168" s="12"/>
      <c r="AE168" s="12"/>
      <c r="AF168" s="12"/>
      <c r="AG168" s="12"/>
      <c r="AK168" s="16"/>
      <c r="AL168" s="12"/>
      <c r="AM168" s="12"/>
      <c r="AN168" s="12"/>
      <c r="AO168" s="16"/>
      <c r="AP168" s="12"/>
      <c r="AQ168" s="12"/>
      <c r="AR168" s="12"/>
      <c r="AS168" s="12"/>
      <c r="AT168" s="12"/>
      <c r="AU168" s="12"/>
      <c r="AV168" s="12"/>
      <c r="AW168" s="16"/>
      <c r="BA168" s="17"/>
      <c r="BB168" s="12"/>
      <c r="BC168" s="12"/>
      <c r="BD168" s="12"/>
      <c r="BE168" s="17"/>
      <c r="BF168" s="12"/>
      <c r="BG168" s="12"/>
      <c r="BH168" s="12"/>
      <c r="BI168" s="16"/>
      <c r="BJ168" s="16"/>
    </row>
    <row r="169" spans="1:62" ht="15.75" customHeight="1" x14ac:dyDescent="0.15">
      <c r="A169" s="12"/>
      <c r="B169" s="13"/>
      <c r="C169" s="14"/>
      <c r="D169" s="14"/>
      <c r="E169" s="15"/>
      <c r="F169" s="16"/>
      <c r="G169" s="12"/>
      <c r="H169" s="16"/>
      <c r="I169" s="12"/>
      <c r="J169" s="12"/>
      <c r="M169" s="12"/>
      <c r="O169" s="16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2"/>
      <c r="AB169" s="12"/>
      <c r="AC169" s="16"/>
      <c r="AD169" s="12"/>
      <c r="AE169" s="12"/>
      <c r="AF169" s="12"/>
      <c r="AG169" s="12"/>
      <c r="AK169" s="16"/>
      <c r="AL169" s="12"/>
      <c r="AM169" s="12"/>
      <c r="AN169" s="12"/>
      <c r="AO169" s="16"/>
      <c r="AP169" s="12"/>
      <c r="AQ169" s="12"/>
      <c r="AR169" s="12"/>
      <c r="AS169" s="12"/>
      <c r="AT169" s="12"/>
      <c r="AU169" s="12"/>
      <c r="AV169" s="12"/>
      <c r="AW169" s="16"/>
      <c r="BA169" s="17"/>
      <c r="BB169" s="12"/>
      <c r="BC169" s="12"/>
      <c r="BD169" s="12"/>
      <c r="BE169" s="17"/>
      <c r="BF169" s="12"/>
      <c r="BG169" s="12"/>
      <c r="BH169" s="12"/>
      <c r="BI169" s="16"/>
      <c r="BJ169" s="16"/>
    </row>
    <row r="170" spans="1:62" ht="15.75" customHeight="1" x14ac:dyDescent="0.15">
      <c r="A170" s="12"/>
      <c r="B170" s="13"/>
      <c r="C170" s="14"/>
      <c r="D170" s="14"/>
      <c r="E170" s="15"/>
      <c r="F170" s="16"/>
      <c r="G170" s="12"/>
      <c r="H170" s="16"/>
      <c r="I170" s="12"/>
      <c r="J170" s="12"/>
      <c r="M170" s="12"/>
      <c r="O170" s="16"/>
      <c r="V170" s="16"/>
      <c r="W170" s="12"/>
      <c r="X170" s="12"/>
      <c r="AC170" s="16"/>
      <c r="AD170" s="12"/>
      <c r="AE170" s="12"/>
      <c r="AK170" s="16"/>
      <c r="AO170" s="16"/>
      <c r="AW170" s="16"/>
      <c r="BA170" s="17"/>
      <c r="BE170" s="17"/>
      <c r="BI170" s="16"/>
      <c r="BJ170" s="16"/>
    </row>
    <row r="171" spans="1:62" ht="15.75" customHeight="1" x14ac:dyDescent="0.15">
      <c r="A171" s="12"/>
      <c r="B171" s="13"/>
      <c r="C171" s="14"/>
      <c r="D171" s="14"/>
      <c r="E171" s="15"/>
      <c r="F171" s="16"/>
      <c r="G171" s="12"/>
      <c r="H171" s="16"/>
      <c r="I171" s="12"/>
      <c r="J171" s="12"/>
      <c r="M171" s="12"/>
      <c r="O171" s="16"/>
      <c r="P171" s="12"/>
      <c r="Q171" s="12"/>
      <c r="R171" s="12"/>
      <c r="T171" s="12"/>
      <c r="U171" s="12"/>
      <c r="V171" s="16"/>
      <c r="W171" s="12"/>
      <c r="X171" s="12"/>
      <c r="Y171" s="12"/>
      <c r="Z171" s="12"/>
      <c r="AB171" s="12"/>
      <c r="AC171" s="16"/>
      <c r="AD171" s="12"/>
      <c r="AE171" s="12"/>
      <c r="AF171" s="12"/>
      <c r="AG171" s="12"/>
      <c r="AK171" s="16"/>
      <c r="AL171" s="12"/>
      <c r="AM171" s="12"/>
      <c r="AN171" s="12"/>
      <c r="AO171" s="16"/>
      <c r="AP171" s="12"/>
      <c r="AQ171" s="12"/>
      <c r="AR171" s="12"/>
      <c r="AS171" s="12"/>
      <c r="AT171" s="12"/>
      <c r="AU171" s="12"/>
      <c r="AV171" s="12"/>
      <c r="AW171" s="16"/>
      <c r="BA171" s="17"/>
      <c r="BE171" s="17"/>
      <c r="BF171" s="12"/>
      <c r="BG171" s="12"/>
      <c r="BH171" s="12"/>
      <c r="BI171" s="16"/>
      <c r="BJ171" s="16"/>
    </row>
    <row r="172" spans="1:62" ht="15.75" customHeight="1" x14ac:dyDescent="0.15">
      <c r="A172" s="12"/>
      <c r="B172" s="13"/>
      <c r="C172" s="14"/>
      <c r="D172" s="14"/>
      <c r="E172" s="15"/>
      <c r="F172" s="16"/>
      <c r="G172" s="12"/>
      <c r="H172" s="16"/>
      <c r="I172" s="12"/>
      <c r="J172" s="12"/>
      <c r="M172" s="12"/>
      <c r="O172" s="16"/>
      <c r="V172" s="16"/>
      <c r="W172" s="12"/>
      <c r="X172" s="12"/>
      <c r="AB172" s="12"/>
      <c r="AC172" s="16"/>
      <c r="AD172" s="12"/>
      <c r="AE172" s="12"/>
      <c r="AK172" s="16"/>
      <c r="AL172" s="12"/>
      <c r="AM172" s="12"/>
      <c r="AN172" s="12"/>
      <c r="AO172" s="16"/>
      <c r="AP172" s="12"/>
      <c r="AQ172" s="12"/>
      <c r="AR172" s="12"/>
      <c r="AS172" s="12"/>
      <c r="AT172" s="12"/>
      <c r="AU172" s="12"/>
      <c r="AV172" s="12"/>
      <c r="AW172" s="16"/>
      <c r="BA172" s="17"/>
      <c r="BE172" s="17"/>
      <c r="BI172" s="16"/>
      <c r="BJ172" s="16"/>
    </row>
    <row r="173" spans="1:62" ht="15.75" customHeight="1" x14ac:dyDescent="0.15">
      <c r="A173" s="12"/>
      <c r="B173" s="13"/>
      <c r="C173" s="14"/>
      <c r="D173" s="14"/>
      <c r="E173" s="15"/>
      <c r="F173" s="16"/>
      <c r="G173" s="12"/>
      <c r="H173" s="16"/>
      <c r="I173" s="12"/>
      <c r="J173" s="12"/>
      <c r="M173" s="12"/>
      <c r="O173" s="16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2"/>
      <c r="AB173" s="12"/>
      <c r="AC173" s="16"/>
      <c r="AD173" s="12"/>
      <c r="AE173" s="12"/>
      <c r="AF173" s="12"/>
      <c r="AG173" s="12"/>
      <c r="AK173" s="16"/>
      <c r="AL173" s="12"/>
      <c r="AM173" s="12"/>
      <c r="AN173" s="12"/>
      <c r="AO173" s="16"/>
      <c r="AP173" s="12"/>
      <c r="AQ173" s="12"/>
      <c r="AR173" s="12"/>
      <c r="AS173" s="12"/>
      <c r="AT173" s="12"/>
      <c r="AU173" s="12"/>
      <c r="AV173" s="12"/>
      <c r="AW173" s="16"/>
      <c r="BA173" s="17"/>
      <c r="BE173" s="17"/>
      <c r="BF173" s="12"/>
      <c r="BG173" s="12"/>
      <c r="BH173" s="12"/>
      <c r="BI173" s="16"/>
      <c r="BJ173" s="16"/>
    </row>
    <row r="174" spans="1:62" ht="15.75" customHeight="1" x14ac:dyDescent="0.15">
      <c r="F174" s="18"/>
      <c r="I174" s="18"/>
      <c r="J174" s="18"/>
      <c r="M174" s="18"/>
      <c r="X174" s="18"/>
      <c r="AE174" s="18"/>
    </row>
    <row r="175" spans="1:62" ht="15.75" customHeight="1" x14ac:dyDescent="0.15">
      <c r="F175" s="18"/>
      <c r="I175" s="18"/>
      <c r="J175" s="18"/>
      <c r="M175" s="18"/>
      <c r="X175" s="18"/>
      <c r="AE175" s="18"/>
    </row>
    <row r="176" spans="1:62" ht="15.75" customHeight="1" x14ac:dyDescent="0.15">
      <c r="F176" s="18"/>
      <c r="I176" s="18"/>
      <c r="J176" s="18"/>
      <c r="M176" s="18"/>
      <c r="X176" s="18"/>
      <c r="AE176" s="18"/>
    </row>
    <row r="177" spans="6:31" ht="15.75" customHeight="1" x14ac:dyDescent="0.15">
      <c r="F177" s="18"/>
      <c r="I177" s="18"/>
      <c r="J177" s="18"/>
      <c r="M177" s="18"/>
      <c r="X177" s="18"/>
      <c r="AE177" s="18"/>
    </row>
    <row r="178" spans="6:31" ht="15.75" customHeight="1" x14ac:dyDescent="0.15">
      <c r="F178" s="18"/>
      <c r="I178" s="18"/>
      <c r="J178" s="18"/>
      <c r="M178" s="18"/>
      <c r="X178" s="18"/>
      <c r="AE178" s="18"/>
    </row>
    <row r="179" spans="6:31" ht="15.75" customHeight="1" x14ac:dyDescent="0.15">
      <c r="F179" s="18"/>
      <c r="I179" s="18"/>
      <c r="J179" s="18"/>
      <c r="M179" s="18"/>
      <c r="X179" s="18"/>
      <c r="AE179" s="18"/>
    </row>
    <row r="180" spans="6:31" ht="15.75" customHeight="1" x14ac:dyDescent="0.15">
      <c r="F180" s="18"/>
      <c r="I180" s="18"/>
      <c r="J180" s="18"/>
      <c r="M180" s="18"/>
      <c r="X180" s="18"/>
      <c r="AE180" s="18"/>
    </row>
    <row r="181" spans="6:31" ht="15.75" customHeight="1" x14ac:dyDescent="0.15">
      <c r="F181" s="18"/>
      <c r="I181" s="18"/>
      <c r="J181" s="18"/>
      <c r="M181" s="18"/>
      <c r="X181" s="18"/>
      <c r="AE181" s="18"/>
    </row>
    <row r="182" spans="6:31" ht="15.75" customHeight="1" x14ac:dyDescent="0.15">
      <c r="F182" s="18"/>
      <c r="I182" s="18"/>
      <c r="J182" s="18"/>
      <c r="M182" s="18"/>
      <c r="X182" s="18"/>
      <c r="AE182" s="18"/>
    </row>
    <row r="183" spans="6:31" ht="15.75" customHeight="1" x14ac:dyDescent="0.15">
      <c r="F183" s="18"/>
      <c r="I183" s="18"/>
      <c r="J183" s="18"/>
      <c r="M183" s="18"/>
      <c r="X183" s="18"/>
      <c r="AE183" s="18"/>
    </row>
    <row r="184" spans="6:31" ht="15.75" customHeight="1" x14ac:dyDescent="0.15">
      <c r="F184" s="18"/>
      <c r="I184" s="18"/>
      <c r="J184" s="18"/>
      <c r="M184" s="18"/>
      <c r="X184" s="18"/>
      <c r="AE184" s="18"/>
    </row>
    <row r="185" spans="6:31" ht="15.75" customHeight="1" x14ac:dyDescent="0.15">
      <c r="F185" s="18"/>
      <c r="I185" s="18"/>
      <c r="J185" s="18"/>
      <c r="M185" s="18"/>
      <c r="X185" s="18"/>
      <c r="AE185" s="18"/>
    </row>
    <row r="186" spans="6:31" ht="15.75" customHeight="1" x14ac:dyDescent="0.15">
      <c r="F186" s="18"/>
      <c r="I186" s="18"/>
      <c r="J186" s="18"/>
      <c r="M186" s="18"/>
      <c r="X186" s="18"/>
      <c r="AE186" s="18"/>
    </row>
    <row r="187" spans="6:31" ht="15.75" customHeight="1" x14ac:dyDescent="0.15">
      <c r="F187" s="18"/>
      <c r="I187" s="18"/>
      <c r="J187" s="18"/>
      <c r="M187" s="18"/>
      <c r="X187" s="18"/>
      <c r="AE187" s="18"/>
    </row>
    <row r="188" spans="6:31" ht="15.75" customHeight="1" x14ac:dyDescent="0.15">
      <c r="F188" s="18"/>
      <c r="I188" s="18"/>
      <c r="J188" s="18"/>
      <c r="M188" s="18"/>
      <c r="X188" s="18"/>
      <c r="AE188" s="18"/>
    </row>
    <row r="189" spans="6:31" ht="15.75" customHeight="1" x14ac:dyDescent="0.15">
      <c r="F189" s="18"/>
      <c r="I189" s="18"/>
      <c r="J189" s="18"/>
      <c r="M189" s="18"/>
      <c r="X189" s="18"/>
      <c r="AE189" s="18"/>
    </row>
    <row r="190" spans="6:31" ht="15.75" customHeight="1" x14ac:dyDescent="0.15">
      <c r="F190" s="18"/>
      <c r="I190" s="18"/>
      <c r="J190" s="18"/>
      <c r="M190" s="18"/>
      <c r="X190" s="18"/>
      <c r="AE190" s="18"/>
    </row>
    <row r="191" spans="6:31" ht="15.75" customHeight="1" x14ac:dyDescent="0.15">
      <c r="F191" s="18"/>
      <c r="I191" s="18"/>
      <c r="J191" s="18"/>
      <c r="M191" s="18"/>
      <c r="X191" s="18"/>
      <c r="AE191" s="18"/>
    </row>
    <row r="192" spans="6:31" ht="15.75" customHeight="1" x14ac:dyDescent="0.15">
      <c r="F192" s="18"/>
      <c r="I192" s="18"/>
      <c r="J192" s="18"/>
      <c r="M192" s="18"/>
      <c r="X192" s="18"/>
      <c r="AE192" s="18"/>
    </row>
    <row r="193" spans="6:31" ht="15.75" customHeight="1" x14ac:dyDescent="0.15">
      <c r="F193" s="18"/>
      <c r="I193" s="18"/>
      <c r="J193" s="18"/>
      <c r="M193" s="18"/>
      <c r="X193" s="18"/>
      <c r="AE193" s="18"/>
    </row>
    <row r="194" spans="6:31" ht="15.75" customHeight="1" x14ac:dyDescent="0.15">
      <c r="F194" s="18"/>
      <c r="I194" s="18"/>
      <c r="J194" s="18"/>
      <c r="M194" s="18"/>
      <c r="X194" s="18"/>
      <c r="AE194" s="18"/>
    </row>
    <row r="195" spans="6:31" ht="15.75" customHeight="1" x14ac:dyDescent="0.15">
      <c r="F195" s="18"/>
      <c r="I195" s="18"/>
      <c r="J195" s="18"/>
      <c r="M195" s="18"/>
      <c r="X195" s="18"/>
      <c r="AE195" s="18"/>
    </row>
    <row r="196" spans="6:31" ht="15.75" customHeight="1" x14ac:dyDescent="0.15">
      <c r="F196" s="18"/>
      <c r="I196" s="18"/>
      <c r="J196" s="18"/>
      <c r="M196" s="18"/>
      <c r="X196" s="18"/>
      <c r="AE196" s="18"/>
    </row>
    <row r="197" spans="6:31" ht="15.75" customHeight="1" x14ac:dyDescent="0.15">
      <c r="F197" s="18"/>
      <c r="I197" s="18"/>
      <c r="J197" s="18"/>
      <c r="M197" s="18"/>
      <c r="X197" s="18"/>
      <c r="AE197" s="18"/>
    </row>
    <row r="198" spans="6:31" ht="15.75" customHeight="1" x14ac:dyDescent="0.15">
      <c r="F198" s="18"/>
      <c r="I198" s="18"/>
      <c r="J198" s="18"/>
      <c r="M198" s="18"/>
      <c r="X198" s="18"/>
      <c r="AE198" s="18"/>
    </row>
    <row r="199" spans="6:31" ht="15.75" customHeight="1" x14ac:dyDescent="0.15">
      <c r="F199" s="18"/>
      <c r="I199" s="18"/>
      <c r="J199" s="18"/>
      <c r="M199" s="18"/>
      <c r="X199" s="18"/>
      <c r="AE199" s="18"/>
    </row>
    <row r="200" spans="6:31" ht="15.75" customHeight="1" x14ac:dyDescent="0.15">
      <c r="F200" s="18"/>
      <c r="I200" s="18"/>
      <c r="J200" s="18"/>
      <c r="M200" s="18"/>
      <c r="X200" s="18"/>
      <c r="AE200" s="18"/>
    </row>
    <row r="201" spans="6:31" ht="15.75" customHeight="1" x14ac:dyDescent="0.15">
      <c r="F201" s="18"/>
      <c r="I201" s="18"/>
      <c r="J201" s="18"/>
      <c r="M201" s="18"/>
      <c r="X201" s="18"/>
      <c r="AE201" s="18"/>
    </row>
    <row r="202" spans="6:31" ht="15.75" customHeight="1" x14ac:dyDescent="0.15">
      <c r="F202" s="18"/>
      <c r="I202" s="18"/>
      <c r="J202" s="18"/>
      <c r="M202" s="18"/>
      <c r="X202" s="18"/>
      <c r="AE202" s="18"/>
    </row>
    <row r="203" spans="6:31" ht="15.75" customHeight="1" x14ac:dyDescent="0.15">
      <c r="F203" s="18"/>
      <c r="I203" s="18"/>
      <c r="J203" s="18"/>
      <c r="M203" s="18"/>
      <c r="X203" s="18"/>
      <c r="AE203" s="18"/>
    </row>
    <row r="204" spans="6:31" ht="15.75" customHeight="1" x14ac:dyDescent="0.15">
      <c r="F204" s="18"/>
      <c r="I204" s="18"/>
      <c r="J204" s="18"/>
      <c r="M204" s="18"/>
      <c r="X204" s="18"/>
      <c r="AE204" s="18"/>
    </row>
    <row r="205" spans="6:31" ht="15.75" customHeight="1" x14ac:dyDescent="0.15">
      <c r="F205" s="18"/>
      <c r="I205" s="18"/>
      <c r="J205" s="18"/>
      <c r="M205" s="18"/>
      <c r="X205" s="18"/>
      <c r="AE205" s="18"/>
    </row>
    <row r="206" spans="6:31" ht="15.75" customHeight="1" x14ac:dyDescent="0.15">
      <c r="F206" s="18"/>
      <c r="I206" s="18"/>
      <c r="J206" s="18"/>
      <c r="M206" s="18"/>
      <c r="X206" s="18"/>
      <c r="AE206" s="18"/>
    </row>
    <row r="207" spans="6:31" ht="15.75" customHeight="1" x14ac:dyDescent="0.15">
      <c r="F207" s="18"/>
      <c r="I207" s="18"/>
      <c r="J207" s="18"/>
      <c r="M207" s="18"/>
      <c r="X207" s="18"/>
      <c r="AE207" s="18"/>
    </row>
    <row r="208" spans="6:31" ht="15.75" customHeight="1" x14ac:dyDescent="0.15">
      <c r="F208" s="18"/>
      <c r="I208" s="18"/>
      <c r="J208" s="18"/>
      <c r="M208" s="18"/>
      <c r="X208" s="18"/>
      <c r="AE208" s="18"/>
    </row>
    <row r="209" spans="6:31" ht="15.75" customHeight="1" x14ac:dyDescent="0.15">
      <c r="F209" s="18"/>
      <c r="I209" s="18"/>
      <c r="J209" s="18"/>
      <c r="M209" s="18"/>
      <c r="X209" s="18"/>
      <c r="AE209" s="18"/>
    </row>
    <row r="210" spans="6:31" ht="15.75" customHeight="1" x14ac:dyDescent="0.15">
      <c r="F210" s="18"/>
      <c r="I210" s="18"/>
      <c r="J210" s="18"/>
      <c r="M210" s="18"/>
      <c r="X210" s="18"/>
      <c r="AE210" s="18"/>
    </row>
    <row r="211" spans="6:31" ht="15.75" customHeight="1" x14ac:dyDescent="0.15">
      <c r="F211" s="18"/>
      <c r="I211" s="18"/>
      <c r="J211" s="18"/>
      <c r="M211" s="18"/>
      <c r="X211" s="18"/>
      <c r="AE211" s="18"/>
    </row>
    <row r="212" spans="6:31" ht="15.75" customHeight="1" x14ac:dyDescent="0.15">
      <c r="F212" s="18"/>
      <c r="I212" s="18"/>
      <c r="J212" s="18"/>
      <c r="M212" s="18"/>
      <c r="X212" s="18"/>
      <c r="AE212" s="18"/>
    </row>
    <row r="213" spans="6:31" ht="15.75" customHeight="1" x14ac:dyDescent="0.15">
      <c r="F213" s="18"/>
      <c r="I213" s="18"/>
      <c r="J213" s="18"/>
      <c r="M213" s="18"/>
      <c r="X213" s="18"/>
      <c r="AE213" s="18"/>
    </row>
    <row r="214" spans="6:31" ht="15.75" customHeight="1" x14ac:dyDescent="0.15">
      <c r="F214" s="18"/>
      <c r="I214" s="18"/>
      <c r="J214" s="18"/>
      <c r="M214" s="18"/>
      <c r="X214" s="18"/>
      <c r="AE214" s="18"/>
    </row>
    <row r="215" spans="6:31" ht="15.75" customHeight="1" x14ac:dyDescent="0.15">
      <c r="F215" s="18"/>
      <c r="I215" s="18"/>
      <c r="J215" s="18"/>
      <c r="M215" s="18"/>
      <c r="X215" s="18"/>
      <c r="AE215" s="18"/>
    </row>
    <row r="216" spans="6:31" ht="15.75" customHeight="1" x14ac:dyDescent="0.15">
      <c r="F216" s="18"/>
      <c r="I216" s="18"/>
      <c r="J216" s="18"/>
      <c r="M216" s="18"/>
      <c r="X216" s="18"/>
      <c r="AE216" s="18"/>
    </row>
    <row r="217" spans="6:31" ht="15.75" customHeight="1" x14ac:dyDescent="0.15">
      <c r="F217" s="18"/>
      <c r="I217" s="18"/>
      <c r="J217" s="18"/>
      <c r="M217" s="18"/>
      <c r="X217" s="18"/>
      <c r="AE217" s="18"/>
    </row>
    <row r="218" spans="6:31" ht="15.75" customHeight="1" x14ac:dyDescent="0.15">
      <c r="F218" s="18"/>
      <c r="I218" s="18"/>
      <c r="J218" s="18"/>
      <c r="M218" s="18"/>
      <c r="X218" s="18"/>
      <c r="AE218" s="18"/>
    </row>
    <row r="219" spans="6:31" ht="15.75" customHeight="1" x14ac:dyDescent="0.15">
      <c r="F219" s="18"/>
      <c r="I219" s="18"/>
      <c r="J219" s="18"/>
      <c r="M219" s="18"/>
      <c r="X219" s="18"/>
      <c r="AE219" s="18"/>
    </row>
    <row r="220" spans="6:31" ht="15.75" customHeight="1" x14ac:dyDescent="0.15">
      <c r="F220" s="18"/>
      <c r="I220" s="18"/>
      <c r="J220" s="18"/>
      <c r="M220" s="18"/>
      <c r="X220" s="18"/>
      <c r="AE220" s="18"/>
    </row>
    <row r="221" spans="6:31" ht="15.75" customHeight="1" x14ac:dyDescent="0.15">
      <c r="F221" s="18"/>
      <c r="I221" s="18"/>
      <c r="J221" s="18"/>
      <c r="M221" s="18"/>
      <c r="X221" s="18"/>
      <c r="AE221" s="18"/>
    </row>
    <row r="222" spans="6:31" ht="15.75" customHeight="1" x14ac:dyDescent="0.15">
      <c r="F222" s="18"/>
      <c r="I222" s="18"/>
      <c r="J222" s="18"/>
      <c r="M222" s="18"/>
      <c r="X222" s="18"/>
      <c r="AE222" s="18"/>
    </row>
    <row r="223" spans="6:31" ht="15.75" customHeight="1" x14ac:dyDescent="0.15">
      <c r="F223" s="18"/>
      <c r="I223" s="18"/>
      <c r="J223" s="18"/>
      <c r="M223" s="18"/>
      <c r="X223" s="18"/>
      <c r="AE223" s="18"/>
    </row>
    <row r="224" spans="6:31" ht="15.75" customHeight="1" x14ac:dyDescent="0.15">
      <c r="F224" s="18"/>
      <c r="I224" s="18"/>
      <c r="J224" s="18"/>
      <c r="M224" s="18"/>
      <c r="X224" s="18"/>
      <c r="AE224" s="18"/>
    </row>
    <row r="225" spans="6:31" ht="15.75" customHeight="1" x14ac:dyDescent="0.15">
      <c r="F225" s="18"/>
      <c r="I225" s="18"/>
      <c r="J225" s="18"/>
      <c r="M225" s="18"/>
      <c r="X225" s="18"/>
      <c r="AE225" s="18"/>
    </row>
    <row r="226" spans="6:31" ht="15.75" customHeight="1" x14ac:dyDescent="0.15">
      <c r="F226" s="18"/>
      <c r="I226" s="18"/>
      <c r="J226" s="18"/>
      <c r="M226" s="18"/>
      <c r="X226" s="18"/>
      <c r="AE226" s="18"/>
    </row>
    <row r="227" spans="6:31" ht="15.75" customHeight="1" x14ac:dyDescent="0.15">
      <c r="F227" s="18"/>
      <c r="I227" s="18"/>
      <c r="J227" s="18"/>
      <c r="M227" s="18"/>
      <c r="X227" s="18"/>
      <c r="AE227" s="18"/>
    </row>
    <row r="228" spans="6:31" ht="15.75" customHeight="1" x14ac:dyDescent="0.15">
      <c r="F228" s="18"/>
      <c r="I228" s="18"/>
      <c r="J228" s="18"/>
      <c r="M228" s="18"/>
      <c r="X228" s="18"/>
      <c r="AE228" s="18"/>
    </row>
    <row r="229" spans="6:31" ht="15.75" customHeight="1" x14ac:dyDescent="0.15">
      <c r="F229" s="18"/>
      <c r="I229" s="18"/>
      <c r="J229" s="18"/>
      <c r="M229" s="18"/>
      <c r="X229" s="18"/>
      <c r="AE229" s="18"/>
    </row>
    <row r="230" spans="6:31" ht="15.75" customHeight="1" x14ac:dyDescent="0.15">
      <c r="F230" s="18"/>
      <c r="I230" s="18"/>
      <c r="J230" s="18"/>
      <c r="M230" s="18"/>
      <c r="X230" s="18"/>
      <c r="AE230" s="18"/>
    </row>
    <row r="231" spans="6:31" ht="15.75" customHeight="1" x14ac:dyDescent="0.15">
      <c r="F231" s="18"/>
      <c r="I231" s="18"/>
      <c r="J231" s="18"/>
      <c r="M231" s="18"/>
      <c r="X231" s="18"/>
      <c r="AE231" s="18"/>
    </row>
    <row r="232" spans="6:31" ht="15.75" customHeight="1" x14ac:dyDescent="0.15">
      <c r="F232" s="18"/>
      <c r="I232" s="18"/>
      <c r="J232" s="18"/>
      <c r="M232" s="18"/>
      <c r="X232" s="18"/>
      <c r="AE232" s="18"/>
    </row>
    <row r="233" spans="6:31" ht="15.75" customHeight="1" x14ac:dyDescent="0.15">
      <c r="F233" s="18"/>
      <c r="I233" s="18"/>
      <c r="J233" s="18"/>
      <c r="M233" s="18"/>
      <c r="X233" s="18"/>
      <c r="AE233" s="18"/>
    </row>
    <row r="234" spans="6:31" ht="15.75" customHeight="1" x14ac:dyDescent="0.15">
      <c r="F234" s="18"/>
      <c r="I234" s="18"/>
      <c r="J234" s="18"/>
      <c r="M234" s="18"/>
      <c r="X234" s="18"/>
      <c r="AE234" s="18"/>
    </row>
    <row r="235" spans="6:31" ht="15.75" customHeight="1" x14ac:dyDescent="0.15">
      <c r="F235" s="18"/>
      <c r="I235" s="18"/>
      <c r="J235" s="18"/>
      <c r="M235" s="18"/>
      <c r="X235" s="18"/>
      <c r="AE235" s="18"/>
    </row>
    <row r="236" spans="6:31" ht="15.75" customHeight="1" x14ac:dyDescent="0.15">
      <c r="F236" s="18"/>
      <c r="I236" s="18"/>
      <c r="J236" s="18"/>
      <c r="M236" s="18"/>
      <c r="X236" s="18"/>
      <c r="AE236" s="18"/>
    </row>
    <row r="237" spans="6:31" ht="15.75" customHeight="1" x14ac:dyDescent="0.15">
      <c r="F237" s="18"/>
      <c r="I237" s="18"/>
      <c r="J237" s="18"/>
      <c r="M237" s="18"/>
      <c r="X237" s="18"/>
      <c r="AE237" s="18"/>
    </row>
    <row r="238" spans="6:31" ht="15.75" customHeight="1" x14ac:dyDescent="0.15">
      <c r="F238" s="18"/>
      <c r="I238" s="18"/>
      <c r="J238" s="18"/>
      <c r="M238" s="18"/>
      <c r="X238" s="18"/>
      <c r="AE238" s="18"/>
    </row>
    <row r="239" spans="6:31" ht="15.75" customHeight="1" x14ac:dyDescent="0.15">
      <c r="F239" s="18"/>
      <c r="I239" s="18"/>
      <c r="J239" s="18"/>
      <c r="M239" s="18"/>
      <c r="X239" s="18"/>
      <c r="AE239" s="18"/>
    </row>
    <row r="240" spans="6:31" ht="15.75" customHeight="1" x14ac:dyDescent="0.15">
      <c r="F240" s="18"/>
      <c r="I240" s="18"/>
      <c r="J240" s="18"/>
      <c r="M240" s="18"/>
      <c r="X240" s="18"/>
      <c r="AE240" s="18"/>
    </row>
    <row r="241" spans="1:64" ht="15.75" customHeight="1" x14ac:dyDescent="0.15">
      <c r="F241" s="18"/>
      <c r="I241" s="18"/>
      <c r="J241" s="18"/>
      <c r="M241" s="18"/>
      <c r="X241" s="18"/>
      <c r="AE241" s="18"/>
    </row>
    <row r="242" spans="1:64" ht="15.75" customHeight="1" x14ac:dyDescent="0.15">
      <c r="F242" s="18"/>
      <c r="I242" s="18"/>
      <c r="J242" s="18"/>
      <c r="M242" s="18"/>
      <c r="X242" s="18"/>
      <c r="AE242" s="18"/>
    </row>
    <row r="243" spans="1:64" ht="15.75" customHeight="1" x14ac:dyDescent="0.15">
      <c r="F243" s="18"/>
      <c r="I243" s="18"/>
      <c r="J243" s="18"/>
      <c r="M243" s="18"/>
      <c r="X243" s="18"/>
      <c r="AE243" s="18"/>
    </row>
    <row r="244" spans="1:64" ht="15.75" customHeight="1" x14ac:dyDescent="0.15">
      <c r="F244" s="18"/>
      <c r="I244" s="18"/>
      <c r="J244" s="18"/>
      <c r="M244" s="18"/>
      <c r="X244" s="18"/>
      <c r="AE244" s="18"/>
    </row>
    <row r="245" spans="1:64" ht="15.75" customHeight="1" x14ac:dyDescent="0.15">
      <c r="F245" s="18"/>
      <c r="I245" s="18"/>
      <c r="J245" s="18"/>
      <c r="M245" s="18"/>
      <c r="X245" s="18"/>
      <c r="AE245" s="18"/>
    </row>
    <row r="246" spans="1:64" ht="15.75" customHeight="1" x14ac:dyDescent="0.15">
      <c r="F246" s="18"/>
      <c r="I246" s="18"/>
      <c r="J246" s="18"/>
      <c r="M246" s="18"/>
      <c r="X246" s="18"/>
      <c r="AE246" s="18"/>
    </row>
    <row r="247" spans="1:64" ht="15.75" customHeight="1" x14ac:dyDescent="0.15">
      <c r="F247" s="18"/>
      <c r="I247" s="18"/>
      <c r="J247" s="18"/>
      <c r="M247" s="18"/>
      <c r="X247" s="18"/>
      <c r="AE247" s="18"/>
    </row>
    <row r="248" spans="1:64" ht="15.75" customHeight="1" x14ac:dyDescent="0.15">
      <c r="F248" s="18"/>
      <c r="I248" s="18"/>
      <c r="J248" s="18"/>
      <c r="M248" s="18"/>
      <c r="X248" s="18"/>
      <c r="AE248" s="18"/>
    </row>
    <row r="249" spans="1:64" ht="15.75" customHeight="1" x14ac:dyDescent="0.15">
      <c r="F249" s="18"/>
      <c r="I249" s="18"/>
      <c r="J249" s="18"/>
      <c r="M249" s="18"/>
      <c r="X249" s="18"/>
      <c r="AE249" s="18"/>
    </row>
    <row r="250" spans="1:64" ht="15.75" customHeight="1" x14ac:dyDescent="0.15">
      <c r="F250" s="18"/>
      <c r="I250" s="18"/>
      <c r="J250" s="18"/>
      <c r="M250" s="18"/>
      <c r="X250" s="18"/>
      <c r="AE250" s="18"/>
    </row>
    <row r="251" spans="1:64" ht="15.75" customHeight="1" x14ac:dyDescent="0.15">
      <c r="F251" s="18"/>
      <c r="I251" s="18"/>
      <c r="J251" s="18"/>
      <c r="M251" s="18"/>
      <c r="X251" s="18"/>
      <c r="AE251" s="18"/>
    </row>
    <row r="252" spans="1:64" ht="15.75" customHeight="1" x14ac:dyDescent="0.15">
      <c r="F252" s="18"/>
      <c r="I252" s="18"/>
      <c r="J252" s="18"/>
      <c r="M252" s="18"/>
      <c r="X252" s="18"/>
      <c r="AE252" s="18"/>
    </row>
    <row r="253" spans="1:64" ht="15.75" customHeight="1" x14ac:dyDescent="0.15">
      <c r="F253" s="18"/>
      <c r="I253" s="18"/>
      <c r="J253" s="18"/>
      <c r="M253" s="18"/>
      <c r="X253" s="18"/>
      <c r="AE253" s="18"/>
    </row>
    <row r="254" spans="1:64" ht="15.75" customHeight="1" x14ac:dyDescent="0.15">
      <c r="F254" s="18"/>
      <c r="I254" s="18"/>
      <c r="J254" s="18"/>
      <c r="M254" s="18"/>
      <c r="X254" s="18"/>
      <c r="AE254" s="18"/>
    </row>
    <row r="255" spans="1:64" ht="15.75" customHeight="1" x14ac:dyDescent="0.1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</row>
    <row r="256" spans="1:64" ht="15.75" customHeight="1" x14ac:dyDescent="0.1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</row>
    <row r="257" spans="1:64" ht="15.75" customHeight="1" x14ac:dyDescent="0.15">
      <c r="F257" s="18"/>
      <c r="I257" s="18"/>
      <c r="J257" s="18"/>
      <c r="M257" s="18"/>
      <c r="X257" s="18"/>
      <c r="AE257" s="18"/>
    </row>
    <row r="258" spans="1:64" ht="15.75" customHeight="1" x14ac:dyDescent="0.15">
      <c r="F258" s="18"/>
      <c r="I258" s="18"/>
      <c r="J258" s="18"/>
      <c r="M258" s="18"/>
      <c r="X258" s="18"/>
      <c r="AE258" s="18"/>
    </row>
    <row r="259" spans="1:64" ht="15.75" customHeight="1" x14ac:dyDescent="0.15">
      <c r="F259" s="18"/>
      <c r="I259" s="18"/>
      <c r="J259" s="18"/>
      <c r="M259" s="18"/>
      <c r="X259" s="18"/>
      <c r="AE259" s="18"/>
    </row>
    <row r="260" spans="1:64" ht="15.75" customHeight="1" x14ac:dyDescent="0.15">
      <c r="F260" s="18"/>
      <c r="I260" s="18"/>
      <c r="J260" s="18"/>
      <c r="M260" s="18"/>
      <c r="X260" s="18"/>
      <c r="AE260" s="18"/>
    </row>
    <row r="261" spans="1:64" ht="15.75" customHeight="1" x14ac:dyDescent="0.15">
      <c r="F261" s="18"/>
      <c r="I261" s="18"/>
      <c r="J261" s="18"/>
      <c r="M261" s="18"/>
      <c r="X261" s="18"/>
      <c r="AE261" s="18"/>
    </row>
    <row r="262" spans="1:64" ht="15.75" customHeight="1" x14ac:dyDescent="0.15">
      <c r="F262" s="18"/>
      <c r="I262" s="18"/>
      <c r="J262" s="18"/>
      <c r="M262" s="18"/>
      <c r="X262" s="18"/>
      <c r="AE262" s="18"/>
    </row>
    <row r="263" spans="1:64" ht="15.75" customHeight="1" x14ac:dyDescent="0.15">
      <c r="F263" s="18"/>
      <c r="I263" s="18"/>
      <c r="J263" s="18"/>
      <c r="M263" s="18"/>
      <c r="X263" s="18"/>
      <c r="AE263" s="18"/>
    </row>
    <row r="264" spans="1:64" ht="15.75" customHeight="1" x14ac:dyDescent="0.15">
      <c r="F264" s="18"/>
      <c r="I264" s="18"/>
      <c r="J264" s="18"/>
      <c r="M264" s="18"/>
      <c r="X264" s="18"/>
      <c r="AE264" s="18"/>
    </row>
    <row r="265" spans="1:64" ht="15.75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</row>
    <row r="266" spans="1:64" ht="15.75" customHeight="1" x14ac:dyDescent="0.1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</row>
    <row r="267" spans="1:64" ht="15.75" customHeight="1" x14ac:dyDescent="0.1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</row>
    <row r="268" spans="1:64" ht="15.75" customHeight="1" x14ac:dyDescent="0.1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</row>
    <row r="269" spans="1:64" ht="15.75" customHeight="1" x14ac:dyDescent="0.15">
      <c r="F269" s="18"/>
      <c r="I269" s="18"/>
      <c r="J269" s="18"/>
      <c r="M269" s="18"/>
      <c r="X269" s="18"/>
      <c r="AE269" s="18"/>
    </row>
    <row r="270" spans="1:64" ht="15.75" customHeight="1" x14ac:dyDescent="0.1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</row>
    <row r="271" spans="1:64" ht="15.75" customHeight="1" x14ac:dyDescent="0.1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</row>
    <row r="272" spans="1:64" ht="15.75" customHeight="1" x14ac:dyDescent="0.1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</row>
    <row r="273" spans="1:64" ht="15.75" customHeight="1" x14ac:dyDescent="0.1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</row>
    <row r="274" spans="1:64" ht="15.75" customHeight="1" x14ac:dyDescent="0.15">
      <c r="F274" s="18"/>
      <c r="I274" s="18"/>
      <c r="J274" s="18"/>
      <c r="M274" s="18"/>
      <c r="X274" s="18"/>
      <c r="AE274" s="18"/>
    </row>
    <row r="275" spans="1:64" ht="15.75" customHeight="1" x14ac:dyDescent="0.15">
      <c r="F275" s="18"/>
      <c r="I275" s="18"/>
      <c r="J275" s="18"/>
      <c r="M275" s="18"/>
      <c r="X275" s="18"/>
      <c r="AE275" s="18"/>
    </row>
    <row r="276" spans="1:64" ht="15.75" customHeight="1" x14ac:dyDescent="0.15">
      <c r="F276" s="18"/>
      <c r="I276" s="18"/>
      <c r="J276" s="18"/>
      <c r="M276" s="18"/>
      <c r="X276" s="18"/>
      <c r="AE276" s="18"/>
    </row>
    <row r="277" spans="1:64" ht="15.75" customHeight="1" x14ac:dyDescent="0.15">
      <c r="F277" s="18"/>
      <c r="I277" s="18"/>
      <c r="J277" s="18"/>
      <c r="M277" s="18"/>
      <c r="X277" s="18"/>
      <c r="AE277" s="18"/>
    </row>
    <row r="278" spans="1:64" ht="15.75" customHeight="1" x14ac:dyDescent="0.15">
      <c r="F278" s="18"/>
      <c r="I278" s="18"/>
      <c r="J278" s="18"/>
      <c r="M278" s="18"/>
      <c r="X278" s="18"/>
      <c r="AE278" s="18"/>
    </row>
    <row r="279" spans="1:64" ht="15.75" customHeight="1" x14ac:dyDescent="0.15">
      <c r="F279" s="18"/>
      <c r="I279" s="18"/>
      <c r="J279" s="18"/>
      <c r="M279" s="18"/>
      <c r="X279" s="18"/>
      <c r="AE279" s="18"/>
    </row>
    <row r="280" spans="1:64" ht="15.75" customHeight="1" x14ac:dyDescent="0.15">
      <c r="F280" s="18"/>
      <c r="I280" s="18"/>
      <c r="J280" s="18"/>
      <c r="M280" s="18"/>
      <c r="X280" s="18"/>
      <c r="AE280" s="18"/>
    </row>
    <row r="281" spans="1:64" ht="15.75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</row>
    <row r="282" spans="1:64" ht="15.75" customHeight="1" x14ac:dyDescent="0.1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</row>
    <row r="283" spans="1:64" ht="15.75" customHeight="1" x14ac:dyDescent="0.1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</row>
    <row r="284" spans="1:64" ht="15.75" customHeight="1" x14ac:dyDescent="0.1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</row>
    <row r="285" spans="1:64" ht="15.75" customHeight="1" x14ac:dyDescent="0.1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</row>
    <row r="286" spans="1:64" ht="15.75" customHeight="1" x14ac:dyDescent="0.15">
      <c r="F286" s="18"/>
      <c r="I286" s="18"/>
      <c r="J286" s="18"/>
      <c r="M286" s="18"/>
      <c r="X286" s="18"/>
      <c r="AE286" s="18"/>
    </row>
    <row r="287" spans="1:64" ht="15.75" customHeight="1" x14ac:dyDescent="0.15">
      <c r="F287" s="18"/>
      <c r="I287" s="18"/>
      <c r="J287" s="18"/>
      <c r="M287" s="18"/>
      <c r="X287" s="18"/>
      <c r="AE287" s="18"/>
    </row>
    <row r="288" spans="1:64" ht="15.75" customHeight="1" x14ac:dyDescent="0.15">
      <c r="F288" s="18"/>
      <c r="I288" s="18"/>
      <c r="J288" s="18"/>
      <c r="M288" s="18"/>
      <c r="X288" s="18"/>
      <c r="AE288" s="18"/>
    </row>
    <row r="289" spans="1:64" ht="15.75" customHeight="1" x14ac:dyDescent="0.15">
      <c r="F289" s="18"/>
      <c r="I289" s="18"/>
      <c r="J289" s="18"/>
      <c r="M289" s="18"/>
      <c r="X289" s="18"/>
      <c r="AE289" s="18"/>
    </row>
    <row r="290" spans="1:64" ht="15.75" customHeight="1" x14ac:dyDescent="0.15">
      <c r="F290" s="18"/>
      <c r="I290" s="18"/>
      <c r="J290" s="18"/>
      <c r="M290" s="18"/>
      <c r="X290" s="18"/>
      <c r="AE290" s="18"/>
    </row>
    <row r="291" spans="1:64" ht="15.75" customHeight="1" x14ac:dyDescent="0.15">
      <c r="F291" s="18"/>
      <c r="I291" s="18"/>
      <c r="J291" s="18"/>
      <c r="M291" s="18"/>
      <c r="X291" s="18"/>
      <c r="AE291" s="18"/>
    </row>
    <row r="292" spans="1:64" ht="15.75" customHeight="1" x14ac:dyDescent="0.15">
      <c r="F292" s="18"/>
      <c r="I292" s="18"/>
      <c r="J292" s="18"/>
      <c r="M292" s="18"/>
      <c r="X292" s="18"/>
      <c r="AE292" s="18"/>
    </row>
    <row r="293" spans="1:64" ht="15.75" customHeight="1" x14ac:dyDescent="0.15">
      <c r="F293" s="18"/>
      <c r="I293" s="18"/>
      <c r="J293" s="18"/>
      <c r="M293" s="18"/>
      <c r="X293" s="18"/>
      <c r="AE293" s="18"/>
    </row>
    <row r="294" spans="1:64" ht="15.75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</row>
    <row r="295" spans="1:64" ht="15.75" customHeight="1" x14ac:dyDescent="0.1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</row>
    <row r="296" spans="1:64" ht="15.75" customHeight="1" x14ac:dyDescent="0.1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</row>
    <row r="297" spans="1:64" ht="15.75" customHeight="1" x14ac:dyDescent="0.1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</row>
    <row r="298" spans="1:64" ht="15.75" customHeight="1" x14ac:dyDescent="0.1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</row>
    <row r="299" spans="1:64" ht="15.75" customHeight="1" x14ac:dyDescent="0.15">
      <c r="F299" s="18"/>
      <c r="I299" s="18"/>
      <c r="J299" s="18"/>
      <c r="M299" s="18"/>
      <c r="X299" s="18"/>
      <c r="AE299" s="18"/>
    </row>
    <row r="300" spans="1:64" ht="15.75" customHeight="1" x14ac:dyDescent="0.15">
      <c r="F300" s="18"/>
      <c r="I300" s="18"/>
      <c r="J300" s="18"/>
      <c r="M300" s="18"/>
      <c r="X300" s="18"/>
      <c r="AE300" s="18"/>
    </row>
    <row r="301" spans="1:64" ht="15.75" customHeight="1" x14ac:dyDescent="0.15">
      <c r="F301" s="18"/>
      <c r="I301" s="18"/>
      <c r="J301" s="18"/>
      <c r="M301" s="18"/>
      <c r="X301" s="18"/>
      <c r="AE301" s="18"/>
    </row>
    <row r="302" spans="1:64" ht="15.75" customHeight="1" x14ac:dyDescent="0.15">
      <c r="F302" s="18"/>
      <c r="I302" s="18"/>
      <c r="J302" s="18"/>
      <c r="M302" s="18"/>
      <c r="X302" s="18"/>
      <c r="AE302" s="18"/>
    </row>
    <row r="303" spans="1:64" ht="15.75" customHeight="1" x14ac:dyDescent="0.15">
      <c r="F303" s="18"/>
      <c r="I303" s="18"/>
      <c r="J303" s="18"/>
      <c r="M303" s="18"/>
      <c r="X303" s="18"/>
      <c r="AE303" s="18"/>
    </row>
    <row r="304" spans="1:64" ht="15.75" customHeight="1" x14ac:dyDescent="0.15">
      <c r="F304" s="18"/>
      <c r="I304" s="18"/>
      <c r="J304" s="18"/>
      <c r="M304" s="18"/>
      <c r="X304" s="18"/>
      <c r="AE304" s="18"/>
    </row>
    <row r="305" spans="1:64" ht="15.75" customHeight="1" x14ac:dyDescent="0.15">
      <c r="F305" s="18"/>
      <c r="I305" s="18"/>
      <c r="J305" s="18"/>
      <c r="M305" s="18"/>
      <c r="X305" s="18"/>
      <c r="AE305" s="18"/>
    </row>
    <row r="306" spans="1:64" ht="15.75" customHeight="1" x14ac:dyDescent="0.15">
      <c r="F306" s="18"/>
      <c r="I306" s="18"/>
      <c r="J306" s="18"/>
      <c r="M306" s="18"/>
      <c r="X306" s="18"/>
      <c r="AE306" s="18"/>
    </row>
    <row r="307" spans="1:64" ht="15.75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</row>
    <row r="308" spans="1:64" ht="15.75" customHeight="1" x14ac:dyDescent="0.1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</row>
    <row r="309" spans="1:64" ht="15.75" customHeight="1" x14ac:dyDescent="0.15">
      <c r="F309" s="18"/>
      <c r="I309" s="18"/>
      <c r="J309" s="18"/>
      <c r="M309" s="18"/>
      <c r="X309" s="18"/>
      <c r="AE309" s="18"/>
    </row>
    <row r="310" spans="1:64" ht="15.75" customHeight="1" x14ac:dyDescent="0.15">
      <c r="F310" s="18"/>
      <c r="I310" s="18"/>
      <c r="J310" s="18"/>
      <c r="M310" s="18"/>
      <c r="X310" s="18"/>
      <c r="AE310" s="18"/>
    </row>
    <row r="311" spans="1:64" ht="15.75" customHeight="1" x14ac:dyDescent="0.15">
      <c r="F311" s="18"/>
      <c r="I311" s="18"/>
      <c r="J311" s="18"/>
      <c r="M311" s="18"/>
      <c r="X311" s="18"/>
      <c r="AE311" s="18"/>
    </row>
    <row r="312" spans="1:64" ht="15.75" customHeight="1" x14ac:dyDescent="0.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</row>
    <row r="313" spans="1:64" ht="15.75" customHeight="1" x14ac:dyDescent="0.15">
      <c r="F313" s="18"/>
      <c r="I313" s="18"/>
      <c r="J313" s="18"/>
      <c r="M313" s="18"/>
      <c r="X313" s="18"/>
      <c r="AE313" s="18"/>
    </row>
    <row r="314" spans="1:64" ht="15.75" customHeight="1" x14ac:dyDescent="0.15">
      <c r="F314" s="18"/>
      <c r="I314" s="18"/>
      <c r="J314" s="18"/>
      <c r="M314" s="18"/>
      <c r="X314" s="18"/>
      <c r="AE314" s="18"/>
    </row>
    <row r="315" spans="1:64" ht="15.75" customHeight="1" x14ac:dyDescent="0.15">
      <c r="F315" s="18"/>
      <c r="I315" s="18"/>
      <c r="J315" s="18"/>
      <c r="M315" s="18"/>
      <c r="X315" s="18"/>
      <c r="AE315" s="18"/>
    </row>
    <row r="316" spans="1:64" ht="15.75" customHeight="1" x14ac:dyDescent="0.15">
      <c r="F316" s="18"/>
      <c r="I316" s="18"/>
      <c r="J316" s="18"/>
      <c r="M316" s="18"/>
      <c r="X316" s="18"/>
      <c r="AE316" s="18"/>
    </row>
    <row r="317" spans="1:64" ht="15.75" customHeight="1" x14ac:dyDescent="0.15">
      <c r="F317" s="18"/>
      <c r="I317" s="18"/>
      <c r="J317" s="18"/>
      <c r="M317" s="18"/>
      <c r="X317" s="18"/>
      <c r="AE317" s="18"/>
    </row>
    <row r="318" spans="1:64" ht="15.75" customHeight="1" x14ac:dyDescent="0.15">
      <c r="F318" s="18"/>
      <c r="I318" s="18"/>
      <c r="J318" s="18"/>
      <c r="M318" s="18"/>
      <c r="X318" s="18"/>
      <c r="AE318" s="18"/>
    </row>
    <row r="319" spans="1:64" ht="15.75" customHeight="1" x14ac:dyDescent="0.15">
      <c r="F319" s="18"/>
      <c r="I319" s="18"/>
      <c r="J319" s="18"/>
      <c r="M319" s="18"/>
      <c r="X319" s="18"/>
      <c r="AE319" s="18"/>
    </row>
    <row r="320" spans="1:64" ht="15.75" customHeight="1" x14ac:dyDescent="0.15">
      <c r="F320" s="18"/>
      <c r="I320" s="18"/>
      <c r="J320" s="18"/>
      <c r="M320" s="18"/>
      <c r="X320" s="18"/>
      <c r="AE320" s="18"/>
    </row>
    <row r="321" spans="1:64" ht="15.75" customHeight="1" x14ac:dyDescent="0.15">
      <c r="F321" s="18"/>
      <c r="I321" s="18"/>
      <c r="J321" s="18"/>
      <c r="M321" s="18"/>
      <c r="X321" s="18"/>
      <c r="AE321" s="18"/>
    </row>
    <row r="322" spans="1:64" ht="15.75" customHeight="1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</row>
    <row r="323" spans="1:64" ht="15.75" customHeight="1" x14ac:dyDescent="0.15">
      <c r="F323" s="18"/>
      <c r="I323" s="18"/>
      <c r="J323" s="18"/>
      <c r="M323" s="18"/>
      <c r="X323" s="18"/>
      <c r="AE323" s="18"/>
    </row>
    <row r="324" spans="1:64" ht="15.75" customHeight="1" x14ac:dyDescent="0.15">
      <c r="F324" s="18"/>
      <c r="I324" s="18"/>
      <c r="J324" s="18"/>
      <c r="M324" s="18"/>
      <c r="X324" s="18"/>
      <c r="AE324" s="18"/>
    </row>
    <row r="325" spans="1:64" ht="15.75" customHeight="1" x14ac:dyDescent="0.15">
      <c r="F325" s="18"/>
      <c r="I325" s="18"/>
      <c r="J325" s="18"/>
      <c r="M325" s="18"/>
      <c r="X325" s="18"/>
      <c r="AE325" s="18"/>
    </row>
    <row r="326" spans="1:64" ht="15.75" customHeight="1" x14ac:dyDescent="0.15">
      <c r="F326" s="18"/>
      <c r="I326" s="18"/>
      <c r="J326" s="18"/>
      <c r="M326" s="18"/>
      <c r="X326" s="18"/>
      <c r="AE326" s="18"/>
    </row>
    <row r="327" spans="1:64" ht="15.75" customHeight="1" x14ac:dyDescent="0.15">
      <c r="F327" s="18"/>
      <c r="I327" s="18"/>
      <c r="J327" s="18"/>
      <c r="M327" s="18"/>
      <c r="X327" s="18"/>
      <c r="AE327" s="18"/>
    </row>
    <row r="328" spans="1:64" ht="15.75" customHeight="1" x14ac:dyDescent="0.15">
      <c r="F328" s="18"/>
      <c r="I328" s="18"/>
      <c r="J328" s="18"/>
      <c r="M328" s="18"/>
      <c r="X328" s="18"/>
      <c r="AE328" s="18"/>
    </row>
    <row r="329" spans="1:64" ht="15.75" customHeight="1" x14ac:dyDescent="0.15">
      <c r="F329" s="18"/>
      <c r="I329" s="18"/>
      <c r="J329" s="18"/>
      <c r="M329" s="18"/>
      <c r="X329" s="18"/>
      <c r="AE329" s="18"/>
    </row>
    <row r="330" spans="1:64" ht="15.75" customHeight="1" x14ac:dyDescent="0.15">
      <c r="F330" s="18"/>
      <c r="I330" s="18"/>
      <c r="J330" s="18"/>
      <c r="M330" s="18"/>
      <c r="X330" s="18"/>
      <c r="AE330" s="18"/>
    </row>
    <row r="331" spans="1:64" ht="15.75" customHeight="1" x14ac:dyDescent="0.15">
      <c r="F331" s="18"/>
      <c r="I331" s="18"/>
      <c r="J331" s="18"/>
      <c r="M331" s="18"/>
      <c r="X331" s="18"/>
      <c r="AE331" s="18"/>
    </row>
    <row r="332" spans="1:64" ht="15.75" customHeight="1" x14ac:dyDescent="0.15">
      <c r="F332" s="18"/>
      <c r="I332" s="18"/>
      <c r="J332" s="18"/>
      <c r="M332" s="18"/>
      <c r="X332" s="18"/>
      <c r="AE332" s="18"/>
    </row>
    <row r="333" spans="1:64" ht="15.75" customHeight="1" x14ac:dyDescent="0.15">
      <c r="F333" s="18"/>
      <c r="I333" s="18"/>
      <c r="J333" s="18"/>
      <c r="M333" s="18"/>
      <c r="X333" s="18"/>
      <c r="AE333" s="18"/>
    </row>
    <row r="334" spans="1:64" ht="15.75" customHeight="1" x14ac:dyDescent="0.15">
      <c r="F334" s="18"/>
      <c r="I334" s="18"/>
      <c r="J334" s="18"/>
      <c r="M334" s="18"/>
      <c r="X334" s="18"/>
      <c r="AE334" s="18"/>
    </row>
    <row r="335" spans="1:64" ht="15.75" customHeight="1" x14ac:dyDescent="0.1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</row>
    <row r="336" spans="1:64" ht="15.75" customHeight="1" x14ac:dyDescent="0.15">
      <c r="F336" s="18"/>
      <c r="I336" s="18"/>
      <c r="J336" s="18"/>
      <c r="M336" s="18"/>
      <c r="X336" s="18"/>
      <c r="AE336" s="18"/>
    </row>
    <row r="337" spans="1:64" ht="15.75" customHeight="1" x14ac:dyDescent="0.1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</row>
    <row r="338" spans="1:64" ht="15.75" customHeight="1" x14ac:dyDescent="0.15">
      <c r="F338" s="18"/>
      <c r="I338" s="18"/>
      <c r="J338" s="18"/>
      <c r="M338" s="18"/>
      <c r="X338" s="18"/>
      <c r="AE338" s="18"/>
    </row>
    <row r="339" spans="1:64" ht="15.75" customHeight="1" x14ac:dyDescent="0.15">
      <c r="F339" s="18"/>
      <c r="I339" s="18"/>
      <c r="J339" s="18"/>
      <c r="M339" s="18"/>
      <c r="X339" s="18"/>
      <c r="AE339" s="18"/>
    </row>
    <row r="340" spans="1:64" ht="15.75" customHeight="1" x14ac:dyDescent="0.15">
      <c r="F340" s="18"/>
      <c r="I340" s="18"/>
      <c r="J340" s="18"/>
      <c r="M340" s="18"/>
      <c r="X340" s="18"/>
      <c r="AE340" s="18"/>
    </row>
    <row r="341" spans="1:64" ht="15.75" customHeight="1" x14ac:dyDescent="0.15">
      <c r="F341" s="18"/>
      <c r="I341" s="18"/>
      <c r="J341" s="18"/>
      <c r="M341" s="18"/>
      <c r="X341" s="18"/>
      <c r="AE341" s="18"/>
    </row>
    <row r="342" spans="1:64" ht="15.75" customHeight="1" x14ac:dyDescent="0.1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</row>
    <row r="343" spans="1:64" ht="15.75" customHeight="1" x14ac:dyDescent="0.15">
      <c r="F343" s="18"/>
      <c r="I343" s="18"/>
      <c r="J343" s="18"/>
      <c r="M343" s="18"/>
      <c r="X343" s="18"/>
      <c r="AE343" s="18"/>
    </row>
    <row r="344" spans="1:64" ht="15.75" customHeight="1" x14ac:dyDescent="0.15">
      <c r="F344" s="18"/>
      <c r="I344" s="18"/>
      <c r="J344" s="18"/>
      <c r="M344" s="18"/>
      <c r="X344" s="18"/>
      <c r="AE344" s="18"/>
    </row>
    <row r="345" spans="1:64" ht="15.75" customHeight="1" x14ac:dyDescent="0.15">
      <c r="F345" s="18"/>
      <c r="I345" s="18"/>
      <c r="J345" s="18"/>
      <c r="M345" s="18"/>
      <c r="X345" s="18"/>
      <c r="AE345" s="18"/>
    </row>
    <row r="346" spans="1:64" ht="15.75" customHeight="1" x14ac:dyDescent="0.15">
      <c r="F346" s="18"/>
      <c r="I346" s="18"/>
      <c r="J346" s="18"/>
      <c r="M346" s="18"/>
      <c r="X346" s="18"/>
      <c r="AE346" s="18"/>
    </row>
    <row r="347" spans="1:64" ht="15.75" customHeight="1" x14ac:dyDescent="0.15">
      <c r="F347" s="18"/>
      <c r="I347" s="18"/>
      <c r="J347" s="18"/>
      <c r="M347" s="18"/>
      <c r="X347" s="18"/>
      <c r="AE347" s="18"/>
    </row>
    <row r="348" spans="1:64" ht="15.75" customHeight="1" x14ac:dyDescent="0.15">
      <c r="F348" s="18"/>
      <c r="I348" s="18"/>
      <c r="J348" s="18"/>
      <c r="M348" s="18"/>
      <c r="X348" s="18"/>
      <c r="AE348" s="18"/>
    </row>
    <row r="349" spans="1:64" ht="15.75" customHeight="1" x14ac:dyDescent="0.15">
      <c r="F349" s="18"/>
      <c r="I349" s="18"/>
      <c r="J349" s="18"/>
      <c r="M349" s="18"/>
      <c r="X349" s="18"/>
      <c r="AE349" s="18"/>
    </row>
    <row r="350" spans="1:64" ht="15.75" customHeight="1" x14ac:dyDescent="0.15">
      <c r="F350" s="18"/>
      <c r="I350" s="18"/>
      <c r="J350" s="18"/>
      <c r="M350" s="18"/>
      <c r="X350" s="18"/>
      <c r="AE350" s="18"/>
    </row>
    <row r="351" spans="1:64" ht="15.75" customHeight="1" x14ac:dyDescent="0.15">
      <c r="F351" s="18"/>
      <c r="I351" s="18"/>
      <c r="J351" s="18"/>
      <c r="M351" s="18"/>
      <c r="X351" s="18"/>
      <c r="AE351" s="18"/>
    </row>
    <row r="352" spans="1:64" ht="15.75" customHeight="1" x14ac:dyDescent="0.15">
      <c r="F352" s="18"/>
      <c r="I352" s="18"/>
      <c r="J352" s="18"/>
      <c r="M352" s="18"/>
      <c r="X352" s="18"/>
      <c r="AE352" s="18"/>
    </row>
    <row r="353" spans="1:64" ht="15.75" customHeight="1" x14ac:dyDescent="0.15">
      <c r="F353" s="18"/>
      <c r="I353" s="18"/>
      <c r="J353" s="18"/>
      <c r="M353" s="18"/>
      <c r="X353" s="18"/>
      <c r="AE353" s="18"/>
    </row>
    <row r="354" spans="1:64" ht="15.75" customHeight="1" x14ac:dyDescent="0.15">
      <c r="F354" s="18"/>
      <c r="I354" s="18"/>
      <c r="J354" s="18"/>
      <c r="M354" s="18"/>
      <c r="X354" s="18"/>
      <c r="AE354" s="18"/>
    </row>
    <row r="355" spans="1:64" ht="15.75" customHeight="1" x14ac:dyDescent="0.1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</row>
    <row r="356" spans="1:64" ht="15.75" customHeight="1" x14ac:dyDescent="0.1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</row>
    <row r="357" spans="1:64" ht="15.75" customHeight="1" x14ac:dyDescent="0.1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</row>
    <row r="358" spans="1:64" ht="15.75" customHeight="1" x14ac:dyDescent="0.1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</row>
    <row r="359" spans="1:64" ht="15.75" customHeight="1" x14ac:dyDescent="0.1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</row>
    <row r="360" spans="1:64" ht="15.75" customHeight="1" x14ac:dyDescent="0.1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</row>
    <row r="361" spans="1:64" ht="15.75" customHeight="1" x14ac:dyDescent="0.1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</row>
    <row r="362" spans="1:64" ht="15.75" customHeight="1" x14ac:dyDescent="0.15">
      <c r="F362" s="18"/>
      <c r="I362" s="18"/>
      <c r="J362" s="18"/>
      <c r="M362" s="18"/>
      <c r="X362" s="18"/>
      <c r="AE362" s="18"/>
    </row>
    <row r="363" spans="1:64" ht="15.75" customHeight="1" x14ac:dyDescent="0.15">
      <c r="F363" s="18"/>
      <c r="I363" s="18"/>
      <c r="J363" s="18"/>
      <c r="M363" s="18"/>
      <c r="X363" s="18"/>
      <c r="AE363" s="18"/>
    </row>
    <row r="364" spans="1:64" ht="15.75" customHeight="1" x14ac:dyDescent="0.15">
      <c r="F364" s="18"/>
      <c r="I364" s="18"/>
      <c r="J364" s="18"/>
      <c r="M364" s="18"/>
      <c r="X364" s="18"/>
      <c r="AE364" s="18"/>
    </row>
    <row r="365" spans="1:64" ht="15.75" customHeight="1" x14ac:dyDescent="0.15">
      <c r="F365" s="18"/>
      <c r="I365" s="18"/>
      <c r="J365" s="18"/>
      <c r="M365" s="18"/>
      <c r="X365" s="18"/>
      <c r="AE365" s="18"/>
    </row>
    <row r="366" spans="1:64" ht="15.75" customHeight="1" x14ac:dyDescent="0.15">
      <c r="F366" s="18"/>
      <c r="I366" s="18"/>
      <c r="J366" s="18"/>
      <c r="M366" s="18"/>
      <c r="X366" s="18"/>
      <c r="AE366" s="18"/>
    </row>
    <row r="367" spans="1:64" ht="15.75" customHeight="1" x14ac:dyDescent="0.15">
      <c r="F367" s="18"/>
      <c r="I367" s="18"/>
      <c r="J367" s="18"/>
      <c r="M367" s="18"/>
      <c r="X367" s="18"/>
      <c r="AE367" s="18"/>
    </row>
    <row r="368" spans="1:64" ht="15.75" customHeight="1" x14ac:dyDescent="0.15">
      <c r="F368" s="18"/>
      <c r="I368" s="18"/>
      <c r="J368" s="18"/>
      <c r="M368" s="18"/>
      <c r="X368" s="18"/>
      <c r="AE368" s="18"/>
    </row>
    <row r="369" spans="1:64" ht="15.75" customHeight="1" x14ac:dyDescent="0.15">
      <c r="F369" s="18"/>
      <c r="I369" s="18"/>
      <c r="J369" s="18"/>
      <c r="M369" s="18"/>
      <c r="X369" s="18"/>
      <c r="AE369" s="18"/>
    </row>
    <row r="370" spans="1:64" ht="15.75" customHeight="1" x14ac:dyDescent="0.15">
      <c r="F370" s="18"/>
      <c r="I370" s="18"/>
      <c r="J370" s="18"/>
      <c r="M370" s="18"/>
      <c r="X370" s="18"/>
      <c r="AE370" s="18"/>
    </row>
    <row r="371" spans="1:64" ht="15.75" customHeight="1" x14ac:dyDescent="0.1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</row>
    <row r="372" spans="1:64" ht="15.75" customHeight="1" x14ac:dyDescent="0.15">
      <c r="F372" s="18"/>
      <c r="I372" s="18"/>
      <c r="J372" s="18"/>
      <c r="M372" s="18"/>
      <c r="X372" s="18"/>
      <c r="AE372" s="18"/>
    </row>
    <row r="373" spans="1:64" ht="15.75" customHeight="1" x14ac:dyDescent="0.15">
      <c r="F373" s="18"/>
      <c r="I373" s="18"/>
      <c r="J373" s="18"/>
      <c r="M373" s="18"/>
      <c r="X373" s="18"/>
      <c r="AE373" s="18"/>
    </row>
    <row r="374" spans="1:64" ht="15.75" customHeight="1" x14ac:dyDescent="0.15">
      <c r="F374" s="18"/>
      <c r="I374" s="18"/>
      <c r="J374" s="18"/>
      <c r="M374" s="18"/>
      <c r="X374" s="18"/>
      <c r="AE374" s="18"/>
    </row>
    <row r="375" spans="1:64" ht="15.75" customHeight="1" x14ac:dyDescent="0.15">
      <c r="F375" s="18"/>
      <c r="I375" s="18"/>
      <c r="J375" s="18"/>
      <c r="M375" s="18"/>
      <c r="X375" s="18"/>
      <c r="AE375" s="18"/>
    </row>
    <row r="376" spans="1:64" ht="15.75" customHeight="1" x14ac:dyDescent="0.15">
      <c r="F376" s="18"/>
      <c r="I376" s="18"/>
      <c r="J376" s="18"/>
      <c r="M376" s="18"/>
      <c r="X376" s="18"/>
      <c r="AE376" s="18"/>
    </row>
    <row r="377" spans="1:64" ht="15.75" customHeight="1" x14ac:dyDescent="0.15">
      <c r="F377" s="18"/>
      <c r="I377" s="18"/>
      <c r="J377" s="18"/>
      <c r="M377" s="18"/>
      <c r="X377" s="18"/>
      <c r="AE377" s="18"/>
    </row>
    <row r="378" spans="1:64" ht="15.75" customHeight="1" x14ac:dyDescent="0.15">
      <c r="F378" s="18"/>
      <c r="I378" s="18"/>
      <c r="J378" s="18"/>
      <c r="M378" s="18"/>
      <c r="X378" s="18"/>
      <c r="AE378" s="18"/>
    </row>
    <row r="379" spans="1:64" ht="15.75" customHeight="1" x14ac:dyDescent="0.15">
      <c r="F379" s="18"/>
      <c r="I379" s="18"/>
      <c r="J379" s="18"/>
      <c r="M379" s="18"/>
      <c r="X379" s="18"/>
      <c r="AE379" s="18"/>
    </row>
    <row r="380" spans="1:64" ht="15.75" customHeight="1" x14ac:dyDescent="0.15">
      <c r="F380" s="18"/>
      <c r="I380" s="18"/>
      <c r="J380" s="18"/>
      <c r="M380" s="18"/>
      <c r="X380" s="18"/>
      <c r="AE380" s="18"/>
    </row>
    <row r="381" spans="1:64" ht="15.75" customHeight="1" x14ac:dyDescent="0.15">
      <c r="F381" s="18"/>
      <c r="I381" s="18"/>
      <c r="J381" s="18"/>
      <c r="M381" s="18"/>
      <c r="X381" s="18"/>
      <c r="AE381" s="18"/>
    </row>
    <row r="382" spans="1:64" ht="15.75" customHeight="1" x14ac:dyDescent="0.15">
      <c r="F382" s="18"/>
      <c r="I382" s="18"/>
      <c r="J382" s="18"/>
      <c r="M382" s="18"/>
      <c r="X382" s="18"/>
      <c r="AE382" s="18"/>
    </row>
    <row r="383" spans="1:64" ht="15.75" customHeight="1" x14ac:dyDescent="0.15">
      <c r="F383" s="18"/>
      <c r="I383" s="18"/>
      <c r="J383" s="18"/>
      <c r="M383" s="18"/>
      <c r="X383" s="18"/>
      <c r="AE383" s="18"/>
    </row>
    <row r="384" spans="1:64" ht="15.75" customHeight="1" x14ac:dyDescent="0.15">
      <c r="F384" s="18"/>
      <c r="I384" s="18"/>
      <c r="J384" s="18"/>
      <c r="M384" s="18"/>
      <c r="X384" s="18"/>
      <c r="AE384" s="18"/>
    </row>
    <row r="385" spans="6:31" ht="15.75" customHeight="1" x14ac:dyDescent="0.15">
      <c r="F385" s="18"/>
      <c r="I385" s="18"/>
      <c r="J385" s="18"/>
      <c r="M385" s="18"/>
      <c r="X385" s="18"/>
      <c r="AE385" s="18"/>
    </row>
    <row r="386" spans="6:31" ht="15.75" customHeight="1" x14ac:dyDescent="0.15">
      <c r="F386" s="18"/>
      <c r="I386" s="18"/>
      <c r="J386" s="18"/>
      <c r="M386" s="18"/>
      <c r="X386" s="18"/>
      <c r="AE386" s="18"/>
    </row>
    <row r="387" spans="6:31" ht="15.75" customHeight="1" x14ac:dyDescent="0.15">
      <c r="F387" s="18"/>
      <c r="I387" s="18"/>
      <c r="J387" s="18"/>
      <c r="M387" s="18"/>
      <c r="X387" s="18"/>
      <c r="AE387" s="18"/>
    </row>
    <row r="388" spans="6:31" ht="15.75" customHeight="1" x14ac:dyDescent="0.15">
      <c r="F388" s="18"/>
      <c r="I388" s="18"/>
      <c r="J388" s="18"/>
      <c r="M388" s="18"/>
      <c r="X388" s="18"/>
      <c r="AE388" s="18"/>
    </row>
    <row r="389" spans="6:31" ht="15.75" customHeight="1" x14ac:dyDescent="0.15">
      <c r="F389" s="18"/>
      <c r="I389" s="18"/>
      <c r="J389" s="18"/>
      <c r="M389" s="18"/>
      <c r="X389" s="18"/>
      <c r="AE389" s="18"/>
    </row>
    <row r="390" spans="6:31" ht="15.75" customHeight="1" x14ac:dyDescent="0.15">
      <c r="F390" s="18"/>
      <c r="I390" s="18"/>
      <c r="J390" s="18"/>
      <c r="M390" s="18"/>
      <c r="X390" s="18"/>
      <c r="AE390" s="18"/>
    </row>
    <row r="391" spans="6:31" ht="15.75" customHeight="1" x14ac:dyDescent="0.15">
      <c r="F391" s="18"/>
      <c r="I391" s="18"/>
      <c r="J391" s="18"/>
      <c r="M391" s="18"/>
      <c r="X391" s="18"/>
      <c r="AE391" s="18"/>
    </row>
    <row r="392" spans="6:31" ht="15.75" customHeight="1" x14ac:dyDescent="0.15">
      <c r="F392" s="18"/>
      <c r="I392" s="18"/>
      <c r="J392" s="18"/>
      <c r="M392" s="18"/>
      <c r="X392" s="18"/>
      <c r="AE392" s="18"/>
    </row>
    <row r="393" spans="6:31" ht="15.75" customHeight="1" x14ac:dyDescent="0.15">
      <c r="F393" s="18"/>
      <c r="I393" s="18"/>
      <c r="J393" s="18"/>
      <c r="M393" s="18"/>
      <c r="X393" s="18"/>
      <c r="AE393" s="18"/>
    </row>
    <row r="394" spans="6:31" ht="15.75" customHeight="1" x14ac:dyDescent="0.15">
      <c r="F394" s="18"/>
      <c r="I394" s="18"/>
      <c r="J394" s="18"/>
      <c r="M394" s="18"/>
      <c r="X394" s="18"/>
      <c r="AE394" s="18"/>
    </row>
    <row r="395" spans="6:31" ht="15.75" customHeight="1" x14ac:dyDescent="0.15">
      <c r="F395" s="18"/>
      <c r="I395" s="18"/>
      <c r="J395" s="18"/>
      <c r="M395" s="18"/>
      <c r="X395" s="18"/>
      <c r="AE395" s="18"/>
    </row>
    <row r="396" spans="6:31" ht="15.75" customHeight="1" x14ac:dyDescent="0.15">
      <c r="F396" s="18"/>
      <c r="I396" s="18"/>
      <c r="J396" s="18"/>
      <c r="M396" s="18"/>
      <c r="X396" s="18"/>
      <c r="AE396" s="18"/>
    </row>
    <row r="397" spans="6:31" ht="15.75" customHeight="1" x14ac:dyDescent="0.15">
      <c r="F397" s="18"/>
      <c r="I397" s="18"/>
      <c r="J397" s="18"/>
      <c r="M397" s="18"/>
      <c r="X397" s="18"/>
      <c r="AE397" s="18"/>
    </row>
    <row r="398" spans="6:31" ht="15.75" customHeight="1" x14ac:dyDescent="0.15">
      <c r="F398" s="18"/>
      <c r="I398" s="18"/>
      <c r="J398" s="18"/>
      <c r="M398" s="18"/>
      <c r="X398" s="18"/>
      <c r="AE398" s="18"/>
    </row>
    <row r="399" spans="6:31" ht="15.75" customHeight="1" x14ac:dyDescent="0.15">
      <c r="F399" s="18"/>
      <c r="I399" s="18"/>
      <c r="J399" s="18"/>
      <c r="M399" s="18"/>
      <c r="X399" s="18"/>
      <c r="AE399" s="18"/>
    </row>
    <row r="400" spans="6:31" ht="15.75" customHeight="1" x14ac:dyDescent="0.15">
      <c r="F400" s="18"/>
      <c r="I400" s="18"/>
      <c r="J400" s="18"/>
      <c r="M400" s="18"/>
      <c r="X400" s="18"/>
      <c r="AE400" s="18"/>
    </row>
    <row r="401" spans="6:31" ht="15.75" customHeight="1" x14ac:dyDescent="0.15">
      <c r="F401" s="18"/>
      <c r="I401" s="18"/>
      <c r="J401" s="18"/>
      <c r="M401" s="18"/>
      <c r="X401" s="18"/>
      <c r="AE401" s="18"/>
    </row>
    <row r="402" spans="6:31" ht="15.75" customHeight="1" x14ac:dyDescent="0.15">
      <c r="F402" s="18"/>
      <c r="I402" s="18"/>
      <c r="J402" s="18"/>
      <c r="M402" s="18"/>
      <c r="X402" s="18"/>
      <c r="AE402" s="18"/>
    </row>
    <row r="403" spans="6:31" ht="15.75" customHeight="1" x14ac:dyDescent="0.15">
      <c r="F403" s="18"/>
      <c r="I403" s="18"/>
      <c r="J403" s="18"/>
      <c r="M403" s="18"/>
      <c r="X403" s="18"/>
      <c r="AE403" s="18"/>
    </row>
    <row r="404" spans="6:31" ht="15.75" customHeight="1" x14ac:dyDescent="0.15">
      <c r="F404" s="18"/>
      <c r="I404" s="18"/>
      <c r="J404" s="18"/>
      <c r="M404" s="18"/>
      <c r="X404" s="18"/>
      <c r="AE404" s="18"/>
    </row>
    <row r="405" spans="6:31" ht="15.75" customHeight="1" x14ac:dyDescent="0.15">
      <c r="F405" s="18"/>
      <c r="I405" s="18"/>
      <c r="J405" s="18"/>
      <c r="M405" s="18"/>
      <c r="X405" s="18"/>
      <c r="AE405" s="18"/>
    </row>
    <row r="406" spans="6:31" ht="15.75" customHeight="1" x14ac:dyDescent="0.15">
      <c r="F406" s="18"/>
      <c r="I406" s="18"/>
      <c r="J406" s="18"/>
      <c r="M406" s="18"/>
      <c r="X406" s="18"/>
      <c r="AE406" s="18"/>
    </row>
    <row r="407" spans="6:31" ht="15.75" customHeight="1" x14ac:dyDescent="0.15">
      <c r="F407" s="18"/>
      <c r="I407" s="18"/>
      <c r="J407" s="18"/>
      <c r="M407" s="18"/>
      <c r="X407" s="18"/>
      <c r="AE407" s="18"/>
    </row>
    <row r="408" spans="6:31" ht="15.75" customHeight="1" x14ac:dyDescent="0.15">
      <c r="F408" s="18"/>
      <c r="I408" s="18"/>
      <c r="J408" s="18"/>
      <c r="M408" s="18"/>
      <c r="X408" s="18"/>
      <c r="AE408" s="18"/>
    </row>
    <row r="409" spans="6:31" ht="15.75" customHeight="1" x14ac:dyDescent="0.15">
      <c r="F409" s="18"/>
      <c r="I409" s="18"/>
      <c r="J409" s="18"/>
      <c r="M409" s="18"/>
      <c r="X409" s="18"/>
      <c r="AE409" s="18"/>
    </row>
    <row r="410" spans="6:31" ht="15.75" customHeight="1" x14ac:dyDescent="0.15">
      <c r="F410" s="18"/>
      <c r="I410" s="18"/>
      <c r="J410" s="18"/>
      <c r="M410" s="18"/>
      <c r="X410" s="18"/>
      <c r="AE410" s="18"/>
    </row>
    <row r="411" spans="6:31" ht="15.75" customHeight="1" x14ac:dyDescent="0.15">
      <c r="F411" s="18"/>
      <c r="I411" s="18"/>
      <c r="J411" s="18"/>
      <c r="M411" s="18"/>
      <c r="X411" s="18"/>
      <c r="AE411" s="18"/>
    </row>
    <row r="412" spans="6:31" ht="15.75" customHeight="1" x14ac:dyDescent="0.15">
      <c r="F412" s="18"/>
      <c r="I412" s="18"/>
      <c r="J412" s="18"/>
      <c r="M412" s="18"/>
      <c r="X412" s="18"/>
      <c r="AE412" s="18"/>
    </row>
    <row r="413" spans="6:31" ht="15.75" customHeight="1" x14ac:dyDescent="0.15">
      <c r="F413" s="18"/>
      <c r="I413" s="18"/>
      <c r="J413" s="18"/>
      <c r="M413" s="18"/>
      <c r="X413" s="18"/>
      <c r="AE413" s="18"/>
    </row>
    <row r="414" spans="6:31" ht="15.75" customHeight="1" x14ac:dyDescent="0.15">
      <c r="F414" s="18"/>
      <c r="I414" s="18"/>
      <c r="J414" s="18"/>
      <c r="M414" s="18"/>
      <c r="X414" s="18"/>
      <c r="AE414" s="18"/>
    </row>
    <row r="415" spans="6:31" ht="15.75" customHeight="1" x14ac:dyDescent="0.15">
      <c r="F415" s="18"/>
      <c r="I415" s="18"/>
      <c r="J415" s="18"/>
      <c r="M415" s="18"/>
      <c r="X415" s="18"/>
      <c r="AE415" s="18"/>
    </row>
    <row r="416" spans="6:31" ht="15.75" customHeight="1" x14ac:dyDescent="0.15">
      <c r="F416" s="18"/>
      <c r="I416" s="18"/>
      <c r="J416" s="18"/>
      <c r="M416" s="18"/>
      <c r="X416" s="18"/>
      <c r="AE416" s="18"/>
    </row>
    <row r="417" spans="6:31" ht="15.75" customHeight="1" x14ac:dyDescent="0.15">
      <c r="F417" s="18"/>
      <c r="I417" s="18"/>
      <c r="J417" s="18"/>
      <c r="M417" s="18"/>
      <c r="X417" s="18"/>
      <c r="AE417" s="18"/>
    </row>
    <row r="418" spans="6:31" ht="15.75" customHeight="1" x14ac:dyDescent="0.15">
      <c r="F418" s="18"/>
      <c r="I418" s="18"/>
      <c r="J418" s="18"/>
      <c r="M418" s="18"/>
      <c r="X418" s="18"/>
      <c r="AE418" s="18"/>
    </row>
    <row r="419" spans="6:31" ht="15.75" customHeight="1" x14ac:dyDescent="0.15">
      <c r="F419" s="18"/>
      <c r="I419" s="18"/>
      <c r="J419" s="18"/>
      <c r="M419" s="18"/>
      <c r="X419" s="18"/>
      <c r="AE419" s="18"/>
    </row>
    <row r="420" spans="6:31" ht="15.75" customHeight="1" x14ac:dyDescent="0.15">
      <c r="F420" s="18"/>
      <c r="I420" s="18"/>
      <c r="J420" s="18"/>
      <c r="M420" s="18"/>
      <c r="X420" s="18"/>
      <c r="AE420" s="18"/>
    </row>
    <row r="421" spans="6:31" ht="15.75" customHeight="1" x14ac:dyDescent="0.15">
      <c r="F421" s="18"/>
      <c r="I421" s="18"/>
      <c r="J421" s="18"/>
      <c r="M421" s="18"/>
      <c r="X421" s="18"/>
      <c r="AE421" s="18"/>
    </row>
    <row r="422" spans="6:31" ht="15.75" customHeight="1" x14ac:dyDescent="0.15">
      <c r="F422" s="18"/>
      <c r="I422" s="18"/>
      <c r="J422" s="18"/>
      <c r="M422" s="18"/>
      <c r="X422" s="18"/>
      <c r="AE422" s="18"/>
    </row>
    <row r="423" spans="6:31" ht="15.75" customHeight="1" x14ac:dyDescent="0.15">
      <c r="F423" s="18"/>
      <c r="I423" s="18"/>
      <c r="J423" s="18"/>
      <c r="M423" s="18"/>
      <c r="X423" s="18"/>
      <c r="AE423" s="18"/>
    </row>
    <row r="424" spans="6:31" ht="15.75" customHeight="1" x14ac:dyDescent="0.15">
      <c r="F424" s="18"/>
      <c r="I424" s="18"/>
      <c r="J424" s="18"/>
      <c r="M424" s="18"/>
      <c r="X424" s="18"/>
      <c r="AE424" s="18"/>
    </row>
    <row r="425" spans="6:31" ht="15.75" customHeight="1" x14ac:dyDescent="0.15">
      <c r="F425" s="18"/>
      <c r="I425" s="18"/>
      <c r="J425" s="18"/>
      <c r="M425" s="18"/>
      <c r="X425" s="18"/>
      <c r="AE425" s="18"/>
    </row>
    <row r="426" spans="6:31" ht="15.75" customHeight="1" x14ac:dyDescent="0.15">
      <c r="F426" s="18"/>
      <c r="I426" s="18"/>
      <c r="J426" s="18"/>
      <c r="M426" s="18"/>
      <c r="X426" s="18"/>
      <c r="AE426" s="18"/>
    </row>
    <row r="427" spans="6:31" ht="15.75" customHeight="1" x14ac:dyDescent="0.15">
      <c r="F427" s="18"/>
      <c r="I427" s="18"/>
      <c r="J427" s="18"/>
      <c r="M427" s="18"/>
      <c r="X427" s="18"/>
      <c r="AE427" s="18"/>
    </row>
    <row r="428" spans="6:31" ht="15.75" customHeight="1" x14ac:dyDescent="0.15">
      <c r="F428" s="18"/>
      <c r="I428" s="18"/>
      <c r="J428" s="18"/>
      <c r="M428" s="18"/>
      <c r="X428" s="18"/>
      <c r="AE428" s="18"/>
    </row>
    <row r="429" spans="6:31" ht="15.75" customHeight="1" x14ac:dyDescent="0.15">
      <c r="F429" s="18"/>
      <c r="I429" s="18"/>
      <c r="J429" s="18"/>
      <c r="M429" s="18"/>
      <c r="X429" s="18"/>
      <c r="AE429" s="18"/>
    </row>
    <row r="430" spans="6:31" ht="15.75" customHeight="1" x14ac:dyDescent="0.15">
      <c r="F430" s="18"/>
      <c r="I430" s="18"/>
      <c r="J430" s="18"/>
      <c r="M430" s="18"/>
      <c r="X430" s="18"/>
      <c r="AE430" s="18"/>
    </row>
    <row r="431" spans="6:31" ht="15.75" customHeight="1" x14ac:dyDescent="0.15">
      <c r="F431" s="18"/>
      <c r="I431" s="18"/>
      <c r="J431" s="18"/>
      <c r="M431" s="18"/>
      <c r="X431" s="18"/>
      <c r="AE431" s="18"/>
    </row>
    <row r="432" spans="6:31" ht="15.75" customHeight="1" x14ac:dyDescent="0.15">
      <c r="F432" s="18"/>
      <c r="I432" s="18"/>
      <c r="J432" s="18"/>
      <c r="M432" s="18"/>
      <c r="X432" s="18"/>
      <c r="AE432" s="18"/>
    </row>
    <row r="433" spans="6:31" ht="15.75" customHeight="1" x14ac:dyDescent="0.15">
      <c r="F433" s="18"/>
      <c r="I433" s="18"/>
      <c r="J433" s="18"/>
      <c r="M433" s="18"/>
      <c r="X433" s="18"/>
      <c r="AE433" s="18"/>
    </row>
    <row r="434" spans="6:31" ht="15.75" customHeight="1" x14ac:dyDescent="0.15">
      <c r="F434" s="18"/>
      <c r="I434" s="18"/>
      <c r="J434" s="18"/>
      <c r="M434" s="18"/>
      <c r="X434" s="18"/>
      <c r="AE434" s="18"/>
    </row>
    <row r="435" spans="6:31" ht="15.75" customHeight="1" x14ac:dyDescent="0.15">
      <c r="F435" s="18"/>
      <c r="I435" s="18"/>
      <c r="J435" s="18"/>
      <c r="M435" s="18"/>
      <c r="X435" s="18"/>
      <c r="AE435" s="18"/>
    </row>
    <row r="436" spans="6:31" ht="15.75" customHeight="1" x14ac:dyDescent="0.15">
      <c r="F436" s="18"/>
      <c r="I436" s="18"/>
      <c r="J436" s="18"/>
      <c r="M436" s="18"/>
      <c r="X436" s="18"/>
      <c r="AE436" s="18"/>
    </row>
    <row r="437" spans="6:31" ht="15.75" customHeight="1" x14ac:dyDescent="0.15">
      <c r="F437" s="18"/>
      <c r="I437" s="18"/>
      <c r="J437" s="18"/>
      <c r="M437" s="18"/>
      <c r="X437" s="18"/>
      <c r="AE437" s="18"/>
    </row>
    <row r="438" spans="6:31" ht="15.75" customHeight="1" x14ac:dyDescent="0.15">
      <c r="F438" s="18"/>
      <c r="I438" s="18"/>
      <c r="J438" s="18"/>
      <c r="M438" s="18"/>
      <c r="X438" s="18"/>
      <c r="AE438" s="18"/>
    </row>
    <row r="439" spans="6:31" ht="15.75" customHeight="1" x14ac:dyDescent="0.15">
      <c r="F439" s="18"/>
      <c r="I439" s="18"/>
      <c r="J439" s="18"/>
      <c r="M439" s="18"/>
      <c r="X439" s="18"/>
      <c r="AE439" s="18"/>
    </row>
    <row r="440" spans="6:31" ht="15.75" customHeight="1" x14ac:dyDescent="0.15">
      <c r="F440" s="18"/>
      <c r="I440" s="18"/>
      <c r="J440" s="18"/>
      <c r="M440" s="18"/>
      <c r="X440" s="18"/>
      <c r="AE440" s="18"/>
    </row>
    <row r="441" spans="6:31" ht="15.75" customHeight="1" x14ac:dyDescent="0.15">
      <c r="F441" s="18"/>
      <c r="I441" s="18"/>
      <c r="J441" s="18"/>
      <c r="M441" s="18"/>
      <c r="X441" s="18"/>
      <c r="AE441" s="18"/>
    </row>
    <row r="442" spans="6:31" ht="15.75" customHeight="1" x14ac:dyDescent="0.15">
      <c r="F442" s="18"/>
      <c r="I442" s="18"/>
      <c r="J442" s="18"/>
      <c r="M442" s="18"/>
      <c r="X442" s="18"/>
      <c r="AE442" s="18"/>
    </row>
    <row r="443" spans="6:31" ht="15.75" customHeight="1" x14ac:dyDescent="0.15">
      <c r="F443" s="18"/>
      <c r="I443" s="18"/>
      <c r="J443" s="18"/>
      <c r="M443" s="18"/>
      <c r="X443" s="18"/>
      <c r="AE443" s="18"/>
    </row>
    <row r="444" spans="6:31" ht="15.75" customHeight="1" x14ac:dyDescent="0.15">
      <c r="F444" s="18"/>
      <c r="I444" s="18"/>
      <c r="J444" s="18"/>
      <c r="M444" s="18"/>
      <c r="X444" s="18"/>
      <c r="AE444" s="18"/>
    </row>
    <row r="445" spans="6:31" ht="15.75" customHeight="1" x14ac:dyDescent="0.15">
      <c r="F445" s="18"/>
      <c r="I445" s="18"/>
      <c r="J445" s="18"/>
      <c r="M445" s="18"/>
      <c r="X445" s="18"/>
      <c r="AE445" s="18"/>
    </row>
    <row r="446" spans="6:31" ht="15.75" customHeight="1" x14ac:dyDescent="0.15">
      <c r="F446" s="18"/>
      <c r="I446" s="18"/>
      <c r="J446" s="18"/>
      <c r="M446" s="18"/>
      <c r="X446" s="18"/>
      <c r="AE446" s="18"/>
    </row>
    <row r="447" spans="6:31" ht="15.75" customHeight="1" x14ac:dyDescent="0.15">
      <c r="F447" s="18"/>
      <c r="I447" s="18"/>
      <c r="J447" s="18"/>
      <c r="M447" s="18"/>
      <c r="X447" s="18"/>
      <c r="AE447" s="18"/>
    </row>
    <row r="448" spans="6:31" ht="15.75" customHeight="1" x14ac:dyDescent="0.15">
      <c r="F448" s="18"/>
      <c r="I448" s="18"/>
      <c r="J448" s="18"/>
      <c r="M448" s="18"/>
      <c r="X448" s="18"/>
      <c r="AE448" s="18"/>
    </row>
    <row r="449" spans="6:31" ht="15.75" customHeight="1" x14ac:dyDescent="0.15">
      <c r="F449" s="18"/>
      <c r="I449" s="18"/>
      <c r="J449" s="18"/>
      <c r="M449" s="18"/>
      <c r="X449" s="18"/>
      <c r="AE449" s="18"/>
    </row>
    <row r="450" spans="6:31" ht="15.75" customHeight="1" x14ac:dyDescent="0.15">
      <c r="F450" s="18"/>
      <c r="I450" s="18"/>
      <c r="J450" s="18"/>
      <c r="M450" s="18"/>
      <c r="X450" s="18"/>
      <c r="AE450" s="18"/>
    </row>
    <row r="451" spans="6:31" ht="15.75" customHeight="1" x14ac:dyDescent="0.15">
      <c r="F451" s="18"/>
      <c r="I451" s="18"/>
      <c r="J451" s="18"/>
      <c r="M451" s="18"/>
      <c r="X451" s="18"/>
      <c r="AE451" s="18"/>
    </row>
    <row r="452" spans="6:31" ht="15.75" customHeight="1" x14ac:dyDescent="0.15">
      <c r="F452" s="18"/>
      <c r="I452" s="18"/>
      <c r="J452" s="18"/>
      <c r="M452" s="18"/>
      <c r="X452" s="18"/>
      <c r="AE452" s="18"/>
    </row>
    <row r="453" spans="6:31" ht="15.75" customHeight="1" x14ac:dyDescent="0.15">
      <c r="F453" s="18"/>
      <c r="I453" s="18"/>
      <c r="J453" s="18"/>
      <c r="M453" s="18"/>
      <c r="X453" s="18"/>
      <c r="AE453" s="18"/>
    </row>
    <row r="454" spans="6:31" ht="15.75" customHeight="1" x14ac:dyDescent="0.15">
      <c r="F454" s="18"/>
      <c r="I454" s="18"/>
      <c r="J454" s="18"/>
      <c r="M454" s="18"/>
      <c r="X454" s="18"/>
      <c r="AE454" s="18"/>
    </row>
    <row r="455" spans="6:31" ht="15.75" customHeight="1" x14ac:dyDescent="0.15">
      <c r="F455" s="18"/>
      <c r="I455" s="18"/>
      <c r="J455" s="18"/>
      <c r="M455" s="18"/>
      <c r="X455" s="18"/>
      <c r="AE455" s="18"/>
    </row>
    <row r="456" spans="6:31" ht="15.75" customHeight="1" x14ac:dyDescent="0.15">
      <c r="F456" s="18"/>
      <c r="I456" s="18"/>
      <c r="J456" s="18"/>
      <c r="M456" s="18"/>
      <c r="X456" s="18"/>
      <c r="AE456" s="18"/>
    </row>
    <row r="457" spans="6:31" ht="15.75" customHeight="1" x14ac:dyDescent="0.15">
      <c r="F457" s="18"/>
      <c r="I457" s="18"/>
      <c r="J457" s="18"/>
      <c r="M457" s="18"/>
      <c r="X457" s="18"/>
      <c r="AE457" s="18"/>
    </row>
    <row r="458" spans="6:31" ht="15.75" customHeight="1" x14ac:dyDescent="0.15">
      <c r="F458" s="18"/>
      <c r="I458" s="18"/>
      <c r="J458" s="18"/>
      <c r="M458" s="18"/>
      <c r="X458" s="18"/>
      <c r="AE458" s="18"/>
    </row>
    <row r="459" spans="6:31" ht="15.75" customHeight="1" x14ac:dyDescent="0.15">
      <c r="F459" s="18"/>
      <c r="I459" s="18"/>
      <c r="J459" s="18"/>
      <c r="M459" s="18"/>
      <c r="X459" s="18"/>
      <c r="AE459" s="18"/>
    </row>
    <row r="460" spans="6:31" ht="15.75" customHeight="1" x14ac:dyDescent="0.15">
      <c r="F460" s="18"/>
      <c r="I460" s="18"/>
      <c r="J460" s="18"/>
      <c r="M460" s="18"/>
      <c r="X460" s="18"/>
      <c r="AE460" s="18"/>
    </row>
    <row r="461" spans="6:31" ht="15.75" customHeight="1" x14ac:dyDescent="0.15">
      <c r="F461" s="18"/>
      <c r="I461" s="18"/>
      <c r="J461" s="18"/>
      <c r="M461" s="18"/>
      <c r="X461" s="18"/>
      <c r="AE461" s="18"/>
    </row>
    <row r="462" spans="6:31" ht="15.75" customHeight="1" x14ac:dyDescent="0.15">
      <c r="F462" s="18"/>
      <c r="I462" s="18"/>
      <c r="J462" s="18"/>
      <c r="M462" s="18"/>
      <c r="X462" s="18"/>
      <c r="AE462" s="18"/>
    </row>
    <row r="463" spans="6:31" ht="15.75" customHeight="1" x14ac:dyDescent="0.15">
      <c r="F463" s="18"/>
      <c r="I463" s="18"/>
      <c r="J463" s="18"/>
      <c r="M463" s="18"/>
      <c r="X463" s="18"/>
      <c r="AE463" s="18"/>
    </row>
    <row r="464" spans="6:31" ht="15.75" customHeight="1" x14ac:dyDescent="0.15">
      <c r="F464" s="18"/>
      <c r="I464" s="18"/>
      <c r="J464" s="18"/>
      <c r="M464" s="18"/>
      <c r="X464" s="18"/>
      <c r="AE464" s="18"/>
    </row>
    <row r="465" spans="6:31" ht="15.75" customHeight="1" x14ac:dyDescent="0.15">
      <c r="F465" s="18"/>
      <c r="I465" s="18"/>
      <c r="J465" s="18"/>
      <c r="M465" s="18"/>
      <c r="X465" s="18"/>
      <c r="AE465" s="18"/>
    </row>
    <row r="466" spans="6:31" ht="15.75" customHeight="1" x14ac:dyDescent="0.15">
      <c r="F466" s="18"/>
      <c r="I466" s="18"/>
      <c r="J466" s="18"/>
      <c r="M466" s="18"/>
      <c r="X466" s="18"/>
      <c r="AE466" s="18"/>
    </row>
    <row r="467" spans="6:31" ht="15.75" customHeight="1" x14ac:dyDescent="0.15">
      <c r="F467" s="18"/>
      <c r="I467" s="18"/>
      <c r="J467" s="18"/>
      <c r="M467" s="18"/>
      <c r="X467" s="18"/>
      <c r="AE467" s="18"/>
    </row>
    <row r="468" spans="6:31" ht="15.75" customHeight="1" x14ac:dyDescent="0.15">
      <c r="F468" s="18"/>
      <c r="I468" s="18"/>
      <c r="J468" s="18"/>
      <c r="M468" s="18"/>
      <c r="X468" s="18"/>
      <c r="AE468" s="18"/>
    </row>
    <row r="469" spans="6:31" ht="15.75" customHeight="1" x14ac:dyDescent="0.15">
      <c r="F469" s="18"/>
      <c r="I469" s="18"/>
      <c r="J469" s="18"/>
      <c r="M469" s="18"/>
      <c r="X469" s="18"/>
      <c r="AE469" s="18"/>
    </row>
    <row r="470" spans="6:31" ht="15.75" customHeight="1" x14ac:dyDescent="0.15">
      <c r="F470" s="18"/>
      <c r="I470" s="18"/>
      <c r="J470" s="18"/>
      <c r="M470" s="18"/>
      <c r="X470" s="18"/>
      <c r="AE470" s="18"/>
    </row>
    <row r="471" spans="6:31" ht="15.75" customHeight="1" x14ac:dyDescent="0.15">
      <c r="F471" s="18"/>
      <c r="I471" s="18"/>
      <c r="J471" s="18"/>
      <c r="M471" s="18"/>
      <c r="X471" s="18"/>
      <c r="AE471" s="18"/>
    </row>
    <row r="472" spans="6:31" ht="15.75" customHeight="1" x14ac:dyDescent="0.15">
      <c r="F472" s="18"/>
      <c r="I472" s="18"/>
      <c r="J472" s="18"/>
      <c r="M472" s="18"/>
      <c r="X472" s="18"/>
      <c r="AE472" s="18"/>
    </row>
    <row r="473" spans="6:31" ht="15.75" customHeight="1" x14ac:dyDescent="0.15">
      <c r="F473" s="18"/>
      <c r="I473" s="18"/>
      <c r="J473" s="18"/>
      <c r="M473" s="18"/>
      <c r="X473" s="18"/>
      <c r="AE473" s="18"/>
    </row>
    <row r="474" spans="6:31" ht="15.75" customHeight="1" x14ac:dyDescent="0.15">
      <c r="F474" s="18"/>
      <c r="I474" s="18"/>
      <c r="J474" s="18"/>
      <c r="M474" s="18"/>
      <c r="X474" s="18"/>
      <c r="AE474" s="18"/>
    </row>
    <row r="475" spans="6:31" ht="15.75" customHeight="1" x14ac:dyDescent="0.15">
      <c r="F475" s="18"/>
      <c r="I475" s="18"/>
      <c r="J475" s="18"/>
      <c r="M475" s="18"/>
      <c r="X475" s="18"/>
      <c r="AE475" s="18"/>
    </row>
    <row r="476" spans="6:31" ht="15.75" customHeight="1" x14ac:dyDescent="0.15">
      <c r="F476" s="18"/>
      <c r="I476" s="18"/>
      <c r="J476" s="18"/>
      <c r="M476" s="18"/>
      <c r="X476" s="18"/>
      <c r="AE476" s="18"/>
    </row>
    <row r="477" spans="6:31" ht="15.75" customHeight="1" x14ac:dyDescent="0.15">
      <c r="F477" s="18"/>
      <c r="I477" s="18"/>
      <c r="J477" s="18"/>
      <c r="M477" s="18"/>
      <c r="X477" s="18"/>
      <c r="AE477" s="18"/>
    </row>
    <row r="478" spans="6:31" ht="15.75" customHeight="1" x14ac:dyDescent="0.15">
      <c r="F478" s="18"/>
      <c r="I478" s="18"/>
      <c r="J478" s="18"/>
      <c r="M478" s="18"/>
      <c r="X478" s="18"/>
      <c r="AE478" s="18"/>
    </row>
    <row r="479" spans="6:31" ht="15.75" customHeight="1" x14ac:dyDescent="0.15">
      <c r="F479" s="18"/>
      <c r="I479" s="18"/>
      <c r="J479" s="18"/>
      <c r="M479" s="18"/>
      <c r="X479" s="18"/>
      <c r="AE479" s="18"/>
    </row>
    <row r="480" spans="6:31" ht="15.75" customHeight="1" x14ac:dyDescent="0.15">
      <c r="F480" s="18"/>
      <c r="I480" s="18"/>
      <c r="J480" s="18"/>
      <c r="M480" s="18"/>
      <c r="X480" s="18"/>
      <c r="AE480" s="18"/>
    </row>
    <row r="481" spans="6:31" ht="15.75" customHeight="1" x14ac:dyDescent="0.15">
      <c r="F481" s="18"/>
      <c r="I481" s="18"/>
      <c r="J481" s="18"/>
      <c r="M481" s="18"/>
      <c r="X481" s="18"/>
      <c r="AE481" s="18"/>
    </row>
    <row r="482" spans="6:31" ht="15.75" customHeight="1" x14ac:dyDescent="0.15">
      <c r="F482" s="18"/>
      <c r="I482" s="18"/>
      <c r="J482" s="18"/>
      <c r="M482" s="18"/>
      <c r="X482" s="18"/>
      <c r="AE482" s="18"/>
    </row>
    <row r="483" spans="6:31" ht="15.75" customHeight="1" x14ac:dyDescent="0.15">
      <c r="F483" s="18"/>
      <c r="I483" s="18"/>
      <c r="J483" s="18"/>
      <c r="M483" s="18"/>
      <c r="X483" s="18"/>
      <c r="AE483" s="18"/>
    </row>
    <row r="484" spans="6:31" ht="15.75" customHeight="1" x14ac:dyDescent="0.15">
      <c r="F484" s="18"/>
      <c r="I484" s="18"/>
      <c r="J484" s="18"/>
      <c r="M484" s="18"/>
      <c r="X484" s="18"/>
      <c r="AE484" s="18"/>
    </row>
    <row r="485" spans="6:31" ht="15.75" customHeight="1" x14ac:dyDescent="0.15">
      <c r="F485" s="18"/>
      <c r="I485" s="18"/>
      <c r="J485" s="18"/>
      <c r="M485" s="18"/>
      <c r="X485" s="18"/>
      <c r="AE485" s="18"/>
    </row>
    <row r="486" spans="6:31" ht="15.75" customHeight="1" x14ac:dyDescent="0.15">
      <c r="F486" s="18"/>
      <c r="I486" s="18"/>
      <c r="J486" s="18"/>
      <c r="M486" s="18"/>
      <c r="X486" s="18"/>
      <c r="AE486" s="18"/>
    </row>
    <row r="487" spans="6:31" ht="15.75" customHeight="1" x14ac:dyDescent="0.15">
      <c r="F487" s="18"/>
      <c r="I487" s="18"/>
      <c r="J487" s="18"/>
      <c r="M487" s="18"/>
      <c r="X487" s="18"/>
      <c r="AE487" s="18"/>
    </row>
    <row r="488" spans="6:31" ht="15.75" customHeight="1" x14ac:dyDescent="0.15">
      <c r="F488" s="18"/>
      <c r="I488" s="18"/>
      <c r="J488" s="18"/>
      <c r="M488" s="18"/>
      <c r="X488" s="18"/>
      <c r="AE488" s="18"/>
    </row>
    <row r="489" spans="6:31" ht="15.75" customHeight="1" x14ac:dyDescent="0.15">
      <c r="F489" s="18"/>
      <c r="I489" s="18"/>
      <c r="J489" s="18"/>
      <c r="M489" s="18"/>
      <c r="X489" s="18"/>
      <c r="AE489" s="18"/>
    </row>
    <row r="490" spans="6:31" ht="15.75" customHeight="1" x14ac:dyDescent="0.15">
      <c r="F490" s="18"/>
      <c r="I490" s="18"/>
      <c r="J490" s="18"/>
      <c r="M490" s="18"/>
      <c r="X490" s="18"/>
      <c r="AE490" s="18"/>
    </row>
    <row r="491" spans="6:31" ht="15.75" customHeight="1" x14ac:dyDescent="0.15">
      <c r="F491" s="18"/>
      <c r="I491" s="18"/>
      <c r="J491" s="18"/>
      <c r="M491" s="18"/>
      <c r="X491" s="18"/>
      <c r="AE491" s="18"/>
    </row>
    <row r="492" spans="6:31" ht="15.75" customHeight="1" x14ac:dyDescent="0.15">
      <c r="F492" s="18"/>
      <c r="I492" s="18"/>
      <c r="J492" s="18"/>
      <c r="M492" s="18"/>
      <c r="X492" s="18"/>
      <c r="AE492" s="18"/>
    </row>
    <row r="493" spans="6:31" ht="15.75" customHeight="1" x14ac:dyDescent="0.15">
      <c r="F493" s="18"/>
      <c r="I493" s="18"/>
      <c r="J493" s="18"/>
      <c r="M493" s="18"/>
      <c r="X493" s="18"/>
      <c r="AE493" s="18"/>
    </row>
    <row r="494" spans="6:31" ht="15.75" customHeight="1" x14ac:dyDescent="0.15">
      <c r="F494" s="18"/>
      <c r="I494" s="18"/>
      <c r="J494" s="18"/>
      <c r="M494" s="18"/>
      <c r="X494" s="18"/>
      <c r="AE494" s="18"/>
    </row>
    <row r="495" spans="6:31" ht="15.75" customHeight="1" x14ac:dyDescent="0.15">
      <c r="F495" s="18"/>
      <c r="I495" s="18"/>
      <c r="J495" s="18"/>
      <c r="M495" s="18"/>
      <c r="X495" s="18"/>
      <c r="AE495" s="18"/>
    </row>
    <row r="496" spans="6:31" ht="15.75" customHeight="1" x14ac:dyDescent="0.15">
      <c r="F496" s="18"/>
      <c r="I496" s="18"/>
      <c r="J496" s="18"/>
      <c r="M496" s="18"/>
      <c r="X496" s="18"/>
      <c r="AE496" s="18"/>
    </row>
    <row r="497" spans="6:31" ht="15.75" customHeight="1" x14ac:dyDescent="0.15">
      <c r="F497" s="18"/>
      <c r="I497" s="18"/>
      <c r="J497" s="18"/>
      <c r="M497" s="18"/>
      <c r="X497" s="18"/>
      <c r="AE497" s="18"/>
    </row>
    <row r="498" spans="6:31" ht="15.75" customHeight="1" x14ac:dyDescent="0.15">
      <c r="F498" s="18"/>
      <c r="I498" s="18"/>
      <c r="J498" s="18"/>
      <c r="M498" s="18"/>
      <c r="X498" s="18"/>
      <c r="AE498" s="18"/>
    </row>
    <row r="499" spans="6:31" ht="15.75" customHeight="1" x14ac:dyDescent="0.15">
      <c r="F499" s="18"/>
      <c r="I499" s="18"/>
      <c r="J499" s="18"/>
      <c r="M499" s="18"/>
      <c r="X499" s="18"/>
      <c r="AE499" s="18"/>
    </row>
    <row r="500" spans="6:31" ht="15.75" customHeight="1" x14ac:dyDescent="0.15">
      <c r="F500" s="18"/>
      <c r="I500" s="18"/>
      <c r="J500" s="18"/>
      <c r="M500" s="18"/>
      <c r="X500" s="18"/>
      <c r="AE500" s="18"/>
    </row>
    <row r="501" spans="6:31" ht="15.75" customHeight="1" x14ac:dyDescent="0.15">
      <c r="F501" s="18"/>
      <c r="I501" s="18"/>
      <c r="J501" s="18"/>
      <c r="M501" s="18"/>
      <c r="X501" s="18"/>
      <c r="AE501" s="18"/>
    </row>
    <row r="502" spans="6:31" ht="15.75" customHeight="1" x14ac:dyDescent="0.15">
      <c r="F502" s="18"/>
      <c r="I502" s="18"/>
      <c r="J502" s="18"/>
      <c r="M502" s="18"/>
      <c r="X502" s="18"/>
      <c r="AE502" s="18"/>
    </row>
    <row r="503" spans="6:31" ht="15.75" customHeight="1" x14ac:dyDescent="0.15">
      <c r="F503" s="18"/>
      <c r="I503" s="18"/>
      <c r="J503" s="18"/>
      <c r="M503" s="18"/>
      <c r="X503" s="18"/>
      <c r="AE503" s="18"/>
    </row>
    <row r="504" spans="6:31" ht="15.75" customHeight="1" x14ac:dyDescent="0.15">
      <c r="F504" s="18"/>
      <c r="I504" s="18"/>
      <c r="J504" s="18"/>
      <c r="M504" s="18"/>
      <c r="X504" s="18"/>
      <c r="AE504" s="18"/>
    </row>
    <row r="505" spans="6:31" ht="15.75" customHeight="1" x14ac:dyDescent="0.15">
      <c r="F505" s="18"/>
      <c r="I505" s="18"/>
      <c r="J505" s="18"/>
      <c r="M505" s="18"/>
      <c r="X505" s="18"/>
      <c r="AE505" s="18"/>
    </row>
    <row r="506" spans="6:31" ht="15.75" customHeight="1" x14ac:dyDescent="0.15">
      <c r="F506" s="18"/>
      <c r="I506" s="18"/>
      <c r="J506" s="18"/>
      <c r="M506" s="18"/>
      <c r="X506" s="18"/>
      <c r="AE506" s="18"/>
    </row>
    <row r="507" spans="6:31" ht="15.75" customHeight="1" x14ac:dyDescent="0.15">
      <c r="F507" s="18"/>
      <c r="I507" s="18"/>
      <c r="J507" s="18"/>
      <c r="M507" s="18"/>
      <c r="X507" s="18"/>
      <c r="AE507" s="18"/>
    </row>
    <row r="508" spans="6:31" ht="15.75" customHeight="1" x14ac:dyDescent="0.15">
      <c r="F508" s="18"/>
      <c r="I508" s="18"/>
      <c r="J508" s="18"/>
      <c r="M508" s="18"/>
      <c r="X508" s="18"/>
      <c r="AE508" s="18"/>
    </row>
    <row r="509" spans="6:31" ht="15.75" customHeight="1" x14ac:dyDescent="0.15">
      <c r="F509" s="18"/>
      <c r="I509" s="18"/>
      <c r="J509" s="18"/>
      <c r="M509" s="18"/>
      <c r="X509" s="18"/>
      <c r="AE509" s="18"/>
    </row>
    <row r="510" spans="6:31" ht="15.75" customHeight="1" x14ac:dyDescent="0.15">
      <c r="F510" s="18"/>
      <c r="I510" s="18"/>
      <c r="J510" s="18"/>
      <c r="M510" s="18"/>
      <c r="X510" s="18"/>
      <c r="AE510" s="18"/>
    </row>
    <row r="511" spans="6:31" ht="15.75" customHeight="1" x14ac:dyDescent="0.15">
      <c r="F511" s="18"/>
      <c r="I511" s="18"/>
      <c r="J511" s="18"/>
      <c r="M511" s="18"/>
      <c r="X511" s="18"/>
      <c r="AE511" s="18"/>
    </row>
    <row r="512" spans="6:31" ht="15.75" customHeight="1" x14ac:dyDescent="0.15">
      <c r="F512" s="18"/>
      <c r="I512" s="18"/>
      <c r="J512" s="18"/>
      <c r="M512" s="18"/>
      <c r="X512" s="18"/>
      <c r="AE512" s="18"/>
    </row>
    <row r="513" spans="6:31" ht="15.75" customHeight="1" x14ac:dyDescent="0.15">
      <c r="F513" s="18"/>
      <c r="I513" s="18"/>
      <c r="J513" s="18"/>
      <c r="M513" s="18"/>
      <c r="X513" s="18"/>
      <c r="AE513" s="18"/>
    </row>
    <row r="514" spans="6:31" ht="15.75" customHeight="1" x14ac:dyDescent="0.15">
      <c r="F514" s="18"/>
      <c r="I514" s="18"/>
      <c r="J514" s="18"/>
      <c r="M514" s="18"/>
      <c r="X514" s="18"/>
      <c r="AE514" s="18"/>
    </row>
    <row r="515" spans="6:31" ht="15.75" customHeight="1" x14ac:dyDescent="0.15">
      <c r="F515" s="18"/>
      <c r="I515" s="18"/>
      <c r="J515" s="18"/>
      <c r="M515" s="18"/>
      <c r="X515" s="18"/>
      <c r="AE515" s="18"/>
    </row>
    <row r="516" spans="6:31" ht="15.75" customHeight="1" x14ac:dyDescent="0.15">
      <c r="F516" s="18"/>
      <c r="I516" s="18"/>
      <c r="J516" s="18"/>
      <c r="M516" s="18"/>
      <c r="X516" s="18"/>
      <c r="AE516" s="18"/>
    </row>
    <row r="517" spans="6:31" ht="15.75" customHeight="1" x14ac:dyDescent="0.15">
      <c r="F517" s="18"/>
      <c r="I517" s="18"/>
      <c r="J517" s="18"/>
      <c r="M517" s="18"/>
      <c r="X517" s="18"/>
      <c r="AE517" s="18"/>
    </row>
    <row r="518" spans="6:31" ht="15.75" customHeight="1" x14ac:dyDescent="0.15">
      <c r="F518" s="18"/>
      <c r="I518" s="18"/>
      <c r="J518" s="18"/>
      <c r="M518" s="18"/>
      <c r="X518" s="18"/>
      <c r="AE518" s="18"/>
    </row>
    <row r="519" spans="6:31" ht="15.75" customHeight="1" x14ac:dyDescent="0.15">
      <c r="F519" s="18"/>
      <c r="I519" s="18"/>
      <c r="J519" s="18"/>
      <c r="M519" s="18"/>
      <c r="X519" s="18"/>
      <c r="AE519" s="18"/>
    </row>
    <row r="520" spans="6:31" ht="15.75" customHeight="1" x14ac:dyDescent="0.15">
      <c r="F520" s="18"/>
      <c r="I520" s="18"/>
      <c r="J520" s="18"/>
      <c r="M520" s="18"/>
      <c r="X520" s="18"/>
      <c r="AE520" s="18"/>
    </row>
    <row r="521" spans="6:31" ht="15.75" customHeight="1" x14ac:dyDescent="0.15">
      <c r="F521" s="18"/>
      <c r="I521" s="18"/>
      <c r="J521" s="18"/>
      <c r="M521" s="18"/>
      <c r="X521" s="18"/>
      <c r="AE521" s="18"/>
    </row>
    <row r="522" spans="6:31" ht="15.75" customHeight="1" x14ac:dyDescent="0.15">
      <c r="F522" s="18"/>
      <c r="I522" s="18"/>
      <c r="J522" s="18"/>
      <c r="M522" s="18"/>
      <c r="X522" s="18"/>
      <c r="AE522" s="18"/>
    </row>
    <row r="523" spans="6:31" ht="15.75" customHeight="1" x14ac:dyDescent="0.15">
      <c r="F523" s="18"/>
      <c r="I523" s="18"/>
      <c r="J523" s="18"/>
      <c r="M523" s="18"/>
      <c r="X523" s="18"/>
      <c r="AE523" s="18"/>
    </row>
    <row r="524" spans="6:31" ht="15.75" customHeight="1" x14ac:dyDescent="0.15">
      <c r="F524" s="18"/>
      <c r="I524" s="18"/>
      <c r="J524" s="18"/>
      <c r="M524" s="18"/>
      <c r="X524" s="18"/>
      <c r="AE524" s="18"/>
    </row>
    <row r="525" spans="6:31" ht="15.75" customHeight="1" x14ac:dyDescent="0.15">
      <c r="F525" s="18"/>
      <c r="I525" s="18"/>
      <c r="J525" s="18"/>
      <c r="M525" s="18"/>
      <c r="X525" s="18"/>
      <c r="AE525" s="18"/>
    </row>
    <row r="526" spans="6:31" ht="15.75" customHeight="1" x14ac:dyDescent="0.15">
      <c r="F526" s="18"/>
      <c r="I526" s="18"/>
      <c r="J526" s="18"/>
      <c r="M526" s="18"/>
      <c r="X526" s="18"/>
      <c r="AE526" s="18"/>
    </row>
    <row r="527" spans="6:31" ht="15.75" customHeight="1" x14ac:dyDescent="0.15">
      <c r="F527" s="18"/>
      <c r="I527" s="18"/>
      <c r="J527" s="18"/>
      <c r="M527" s="18"/>
      <c r="X527" s="18"/>
      <c r="AE527" s="18"/>
    </row>
    <row r="528" spans="6:31" ht="15.75" customHeight="1" x14ac:dyDescent="0.15">
      <c r="F528" s="18"/>
      <c r="I528" s="18"/>
      <c r="J528" s="18"/>
      <c r="M528" s="18"/>
      <c r="X528" s="18"/>
      <c r="AE528" s="18"/>
    </row>
    <row r="529" spans="6:31" ht="15.75" customHeight="1" x14ac:dyDescent="0.15">
      <c r="F529" s="18"/>
      <c r="I529" s="18"/>
      <c r="J529" s="18"/>
      <c r="M529" s="18"/>
      <c r="X529" s="18"/>
      <c r="AE529" s="18"/>
    </row>
    <row r="530" spans="6:31" ht="15.75" customHeight="1" x14ac:dyDescent="0.15">
      <c r="F530" s="18"/>
      <c r="I530" s="18"/>
      <c r="J530" s="18"/>
      <c r="M530" s="18"/>
      <c r="X530" s="18"/>
      <c r="AE530" s="18"/>
    </row>
    <row r="531" spans="6:31" ht="15.75" customHeight="1" x14ac:dyDescent="0.15">
      <c r="F531" s="18"/>
      <c r="I531" s="18"/>
      <c r="J531" s="18"/>
      <c r="M531" s="18"/>
      <c r="X531" s="18"/>
      <c r="AE531" s="18"/>
    </row>
    <row r="532" spans="6:31" ht="15.75" customHeight="1" x14ac:dyDescent="0.15">
      <c r="F532" s="18"/>
      <c r="I532" s="18"/>
      <c r="J532" s="18"/>
      <c r="M532" s="18"/>
      <c r="X532" s="18"/>
      <c r="AE532" s="18"/>
    </row>
    <row r="533" spans="6:31" ht="15.75" customHeight="1" x14ac:dyDescent="0.15">
      <c r="F533" s="18"/>
      <c r="I533" s="18"/>
      <c r="J533" s="18"/>
      <c r="M533" s="18"/>
      <c r="X533" s="18"/>
      <c r="AE533" s="18"/>
    </row>
    <row r="534" spans="6:31" ht="15.75" customHeight="1" x14ac:dyDescent="0.15">
      <c r="F534" s="18"/>
      <c r="I534" s="18"/>
      <c r="J534" s="18"/>
      <c r="M534" s="18"/>
      <c r="X534" s="18"/>
      <c r="AE534" s="18"/>
    </row>
    <row r="535" spans="6:31" ht="15.75" customHeight="1" x14ac:dyDescent="0.15">
      <c r="F535" s="18"/>
      <c r="I535" s="18"/>
      <c r="J535" s="18"/>
      <c r="M535" s="18"/>
      <c r="X535" s="18"/>
      <c r="AE535" s="18"/>
    </row>
    <row r="536" spans="6:31" ht="15.75" customHeight="1" x14ac:dyDescent="0.15">
      <c r="F536" s="18"/>
      <c r="I536" s="18"/>
      <c r="J536" s="18"/>
      <c r="M536" s="18"/>
      <c r="X536" s="18"/>
      <c r="AE536" s="18"/>
    </row>
    <row r="537" spans="6:31" ht="15.75" customHeight="1" x14ac:dyDescent="0.15">
      <c r="F537" s="18"/>
      <c r="I537" s="18"/>
      <c r="J537" s="18"/>
      <c r="M537" s="18"/>
      <c r="X537" s="18"/>
      <c r="AE537" s="18"/>
    </row>
    <row r="538" spans="6:31" ht="15.75" customHeight="1" x14ac:dyDescent="0.15">
      <c r="F538" s="18"/>
      <c r="I538" s="18"/>
      <c r="J538" s="18"/>
      <c r="M538" s="18"/>
      <c r="X538" s="18"/>
      <c r="AE538" s="18"/>
    </row>
    <row r="539" spans="6:31" ht="15.75" customHeight="1" x14ac:dyDescent="0.15">
      <c r="F539" s="18"/>
      <c r="I539" s="18"/>
      <c r="J539" s="18"/>
      <c r="M539" s="18"/>
      <c r="X539" s="18"/>
      <c r="AE539" s="18"/>
    </row>
    <row r="540" spans="6:31" ht="15.75" customHeight="1" x14ac:dyDescent="0.15">
      <c r="F540" s="18"/>
      <c r="I540" s="18"/>
      <c r="J540" s="18"/>
      <c r="M540" s="18"/>
      <c r="X540" s="18"/>
      <c r="AE540" s="18"/>
    </row>
    <row r="541" spans="6:31" ht="15.75" customHeight="1" x14ac:dyDescent="0.15">
      <c r="F541" s="18"/>
      <c r="I541" s="18"/>
      <c r="J541" s="18"/>
      <c r="M541" s="18"/>
      <c r="X541" s="18"/>
      <c r="AE541" s="18"/>
    </row>
    <row r="542" spans="6:31" ht="15.75" customHeight="1" x14ac:dyDescent="0.15">
      <c r="F542" s="18"/>
      <c r="I542" s="18"/>
      <c r="J542" s="18"/>
      <c r="M542" s="18"/>
      <c r="X542" s="18"/>
      <c r="AE542" s="18"/>
    </row>
    <row r="543" spans="6:31" ht="15.75" customHeight="1" x14ac:dyDescent="0.15">
      <c r="F543" s="18"/>
      <c r="I543" s="18"/>
      <c r="J543" s="18"/>
      <c r="M543" s="18"/>
      <c r="X543" s="18"/>
      <c r="AE543" s="18"/>
    </row>
    <row r="544" spans="6:31" ht="15.75" customHeight="1" x14ac:dyDescent="0.15">
      <c r="F544" s="18"/>
      <c r="I544" s="18"/>
      <c r="J544" s="18"/>
      <c r="M544" s="18"/>
      <c r="X544" s="18"/>
      <c r="AE544" s="18"/>
    </row>
    <row r="545" spans="6:31" ht="15.75" customHeight="1" x14ac:dyDescent="0.15">
      <c r="F545" s="18"/>
      <c r="I545" s="18"/>
      <c r="J545" s="18"/>
      <c r="M545" s="18"/>
      <c r="X545" s="18"/>
      <c r="AE545" s="18"/>
    </row>
    <row r="546" spans="6:31" ht="15.75" customHeight="1" x14ac:dyDescent="0.15">
      <c r="F546" s="18"/>
      <c r="I546" s="18"/>
      <c r="J546" s="18"/>
      <c r="M546" s="18"/>
      <c r="X546" s="18"/>
      <c r="AE546" s="18"/>
    </row>
    <row r="547" spans="6:31" ht="15.75" customHeight="1" x14ac:dyDescent="0.15">
      <c r="F547" s="18"/>
      <c r="I547" s="18"/>
      <c r="J547" s="18"/>
      <c r="M547" s="18"/>
      <c r="X547" s="18"/>
      <c r="AE547" s="18"/>
    </row>
    <row r="548" spans="6:31" ht="15.75" customHeight="1" x14ac:dyDescent="0.15">
      <c r="F548" s="18"/>
      <c r="I548" s="18"/>
      <c r="J548" s="18"/>
      <c r="M548" s="18"/>
      <c r="X548" s="18"/>
      <c r="AE548" s="18"/>
    </row>
    <row r="549" spans="6:31" ht="15.75" customHeight="1" x14ac:dyDescent="0.15">
      <c r="F549" s="18"/>
      <c r="I549" s="18"/>
      <c r="J549" s="18"/>
      <c r="M549" s="18"/>
      <c r="X549" s="18"/>
      <c r="AE549" s="18"/>
    </row>
    <row r="550" spans="6:31" ht="15.75" customHeight="1" x14ac:dyDescent="0.15">
      <c r="F550" s="18"/>
      <c r="I550" s="18"/>
      <c r="J550" s="18"/>
      <c r="M550" s="18"/>
      <c r="X550" s="18"/>
      <c r="AE550" s="18"/>
    </row>
    <row r="551" spans="6:31" ht="15.75" customHeight="1" x14ac:dyDescent="0.15">
      <c r="F551" s="18"/>
      <c r="I551" s="18"/>
      <c r="J551" s="18"/>
      <c r="M551" s="18"/>
      <c r="X551" s="18"/>
      <c r="AE551" s="18"/>
    </row>
    <row r="552" spans="6:31" ht="15.75" customHeight="1" x14ac:dyDescent="0.15">
      <c r="F552" s="18"/>
      <c r="I552" s="18"/>
      <c r="J552" s="18"/>
      <c r="M552" s="18"/>
      <c r="X552" s="18"/>
      <c r="AE552" s="18"/>
    </row>
    <row r="553" spans="6:31" ht="15.75" customHeight="1" x14ac:dyDescent="0.15">
      <c r="F553" s="18"/>
      <c r="I553" s="18"/>
      <c r="J553" s="18"/>
      <c r="M553" s="18"/>
      <c r="X553" s="18"/>
      <c r="AE553" s="18"/>
    </row>
    <row r="554" spans="6:31" ht="15.75" customHeight="1" x14ac:dyDescent="0.15">
      <c r="F554" s="18"/>
      <c r="I554" s="18"/>
      <c r="J554" s="18"/>
      <c r="M554" s="18"/>
      <c r="X554" s="18"/>
      <c r="AE554" s="18"/>
    </row>
    <row r="555" spans="6:31" ht="15.75" customHeight="1" x14ac:dyDescent="0.15">
      <c r="F555" s="18"/>
      <c r="I555" s="18"/>
      <c r="J555" s="18"/>
      <c r="M555" s="18"/>
      <c r="X555" s="18"/>
      <c r="AE555" s="18"/>
    </row>
    <row r="556" spans="6:31" ht="15.75" customHeight="1" x14ac:dyDescent="0.15">
      <c r="F556" s="18"/>
      <c r="I556" s="18"/>
      <c r="J556" s="18"/>
      <c r="M556" s="18"/>
      <c r="X556" s="18"/>
      <c r="AE556" s="18"/>
    </row>
    <row r="557" spans="6:31" ht="15.75" customHeight="1" x14ac:dyDescent="0.15">
      <c r="F557" s="18"/>
      <c r="I557" s="18"/>
      <c r="J557" s="18"/>
      <c r="M557" s="18"/>
      <c r="X557" s="18"/>
      <c r="AE557" s="18"/>
    </row>
    <row r="558" spans="6:31" ht="15.75" customHeight="1" x14ac:dyDescent="0.15">
      <c r="F558" s="18"/>
      <c r="I558" s="18"/>
      <c r="J558" s="18"/>
      <c r="M558" s="18"/>
      <c r="X558" s="18"/>
      <c r="AE558" s="18"/>
    </row>
    <row r="559" spans="6:31" ht="15.75" customHeight="1" x14ac:dyDescent="0.15">
      <c r="F559" s="18"/>
      <c r="I559" s="18"/>
      <c r="J559" s="18"/>
      <c r="M559" s="18"/>
      <c r="X559" s="18"/>
      <c r="AE559" s="18"/>
    </row>
    <row r="560" spans="6:31" ht="15.75" customHeight="1" x14ac:dyDescent="0.15">
      <c r="F560" s="18"/>
      <c r="I560" s="18"/>
      <c r="J560" s="18"/>
      <c r="M560" s="18"/>
      <c r="X560" s="18"/>
      <c r="AE560" s="18"/>
    </row>
    <row r="561" spans="6:31" ht="15.75" customHeight="1" x14ac:dyDescent="0.15">
      <c r="F561" s="18"/>
      <c r="I561" s="18"/>
      <c r="J561" s="18"/>
      <c r="M561" s="18"/>
      <c r="X561" s="18"/>
      <c r="AE561" s="18"/>
    </row>
    <row r="562" spans="6:31" ht="15.75" customHeight="1" x14ac:dyDescent="0.15">
      <c r="F562" s="18"/>
      <c r="I562" s="18"/>
      <c r="J562" s="18"/>
      <c r="M562" s="18"/>
      <c r="X562" s="18"/>
      <c r="AE562" s="18"/>
    </row>
    <row r="563" spans="6:31" ht="15.75" customHeight="1" x14ac:dyDescent="0.15">
      <c r="F563" s="18"/>
      <c r="I563" s="18"/>
      <c r="J563" s="18"/>
      <c r="M563" s="18"/>
      <c r="X563" s="18"/>
      <c r="AE563" s="18"/>
    </row>
    <row r="564" spans="6:31" ht="15.75" customHeight="1" x14ac:dyDescent="0.15">
      <c r="F564" s="18"/>
      <c r="I564" s="18"/>
      <c r="J564" s="18"/>
      <c r="M564" s="18"/>
      <c r="X564" s="18"/>
      <c r="AE564" s="18"/>
    </row>
    <row r="565" spans="6:31" ht="15.75" customHeight="1" x14ac:dyDescent="0.15">
      <c r="F565" s="18"/>
      <c r="I565" s="18"/>
      <c r="J565" s="18"/>
      <c r="M565" s="18"/>
      <c r="X565" s="18"/>
      <c r="AE565" s="18"/>
    </row>
    <row r="566" spans="6:31" ht="15.75" customHeight="1" x14ac:dyDescent="0.15">
      <c r="F566" s="18"/>
      <c r="I566" s="18"/>
      <c r="J566" s="18"/>
      <c r="M566" s="18"/>
      <c r="X566" s="18"/>
      <c r="AE566" s="18"/>
    </row>
    <row r="567" spans="6:31" ht="15.75" customHeight="1" x14ac:dyDescent="0.15">
      <c r="F567" s="18"/>
      <c r="I567" s="18"/>
      <c r="J567" s="18"/>
      <c r="M567" s="18"/>
      <c r="X567" s="18"/>
      <c r="AE567" s="18"/>
    </row>
    <row r="568" spans="6:31" ht="15.75" customHeight="1" x14ac:dyDescent="0.15">
      <c r="F568" s="18"/>
      <c r="I568" s="18"/>
      <c r="J568" s="18"/>
      <c r="M568" s="18"/>
      <c r="X568" s="18"/>
      <c r="AE568" s="18"/>
    </row>
    <row r="569" spans="6:31" ht="15.75" customHeight="1" x14ac:dyDescent="0.15">
      <c r="F569" s="18"/>
      <c r="I569" s="18"/>
      <c r="J569" s="18"/>
      <c r="M569" s="18"/>
      <c r="X569" s="18"/>
      <c r="AE569" s="18"/>
    </row>
    <row r="570" spans="6:31" ht="15.75" customHeight="1" x14ac:dyDescent="0.15">
      <c r="F570" s="18"/>
      <c r="I570" s="18"/>
      <c r="J570" s="18"/>
      <c r="M570" s="18"/>
      <c r="X570" s="18"/>
      <c r="AE570" s="18"/>
    </row>
    <row r="571" spans="6:31" ht="15.75" customHeight="1" x14ac:dyDescent="0.15">
      <c r="F571" s="18"/>
      <c r="I571" s="18"/>
      <c r="J571" s="18"/>
      <c r="M571" s="18"/>
      <c r="X571" s="18"/>
      <c r="AE571" s="18"/>
    </row>
    <row r="572" spans="6:31" ht="15.75" customHeight="1" x14ac:dyDescent="0.15">
      <c r="F572" s="18"/>
      <c r="I572" s="18"/>
      <c r="J572" s="18"/>
      <c r="M572" s="18"/>
      <c r="X572" s="18"/>
      <c r="AE572" s="18"/>
    </row>
    <row r="573" spans="6:31" ht="15.75" customHeight="1" x14ac:dyDescent="0.15">
      <c r="F573" s="18"/>
      <c r="I573" s="18"/>
      <c r="J573" s="18"/>
      <c r="M573" s="18"/>
      <c r="X573" s="18"/>
      <c r="AE573" s="18"/>
    </row>
    <row r="574" spans="6:31" ht="15.75" customHeight="1" x14ac:dyDescent="0.15">
      <c r="F574" s="18"/>
      <c r="I574" s="18"/>
      <c r="J574" s="18"/>
      <c r="M574" s="18"/>
      <c r="X574" s="18"/>
      <c r="AE574" s="18"/>
    </row>
    <row r="575" spans="6:31" ht="15.75" customHeight="1" x14ac:dyDescent="0.15">
      <c r="F575" s="18"/>
      <c r="I575" s="18"/>
      <c r="J575" s="18"/>
      <c r="M575" s="18"/>
      <c r="X575" s="18"/>
      <c r="AE575" s="18"/>
    </row>
    <row r="576" spans="6:31" ht="15.75" customHeight="1" x14ac:dyDescent="0.15">
      <c r="F576" s="18"/>
      <c r="I576" s="18"/>
      <c r="J576" s="18"/>
      <c r="M576" s="18"/>
      <c r="X576" s="18"/>
      <c r="AE576" s="18"/>
    </row>
    <row r="577" spans="6:31" ht="15.75" customHeight="1" x14ac:dyDescent="0.15">
      <c r="F577" s="18"/>
      <c r="I577" s="18"/>
      <c r="J577" s="18"/>
      <c r="M577" s="18"/>
      <c r="X577" s="18"/>
      <c r="AE577" s="18"/>
    </row>
    <row r="578" spans="6:31" ht="15.75" customHeight="1" x14ac:dyDescent="0.15">
      <c r="F578" s="18"/>
      <c r="I578" s="18"/>
      <c r="J578" s="18"/>
      <c r="M578" s="18"/>
      <c r="X578" s="18"/>
      <c r="AE578" s="18"/>
    </row>
    <row r="579" spans="6:31" ht="15.75" customHeight="1" x14ac:dyDescent="0.15">
      <c r="F579" s="18"/>
      <c r="I579" s="18"/>
      <c r="J579" s="18"/>
      <c r="M579" s="18"/>
      <c r="X579" s="18"/>
      <c r="AE579" s="18"/>
    </row>
    <row r="580" spans="6:31" ht="15.75" customHeight="1" x14ac:dyDescent="0.15">
      <c r="F580" s="18"/>
      <c r="I580" s="18"/>
      <c r="J580" s="18"/>
      <c r="M580" s="18"/>
      <c r="X580" s="18"/>
      <c r="AE580" s="18"/>
    </row>
    <row r="581" spans="6:31" ht="15.75" customHeight="1" x14ac:dyDescent="0.15">
      <c r="F581" s="18"/>
      <c r="I581" s="18"/>
      <c r="J581" s="18"/>
      <c r="M581" s="18"/>
      <c r="X581" s="18"/>
      <c r="AE581" s="18"/>
    </row>
    <row r="582" spans="6:31" ht="15.75" customHeight="1" x14ac:dyDescent="0.15">
      <c r="F582" s="18"/>
      <c r="I582" s="18"/>
      <c r="J582" s="18"/>
      <c r="M582" s="18"/>
      <c r="X582" s="18"/>
      <c r="AE582" s="18"/>
    </row>
    <row r="583" spans="6:31" ht="15.75" customHeight="1" x14ac:dyDescent="0.15">
      <c r="F583" s="18"/>
      <c r="I583" s="18"/>
      <c r="J583" s="18"/>
      <c r="M583" s="18"/>
      <c r="X583" s="18"/>
      <c r="AE583" s="18"/>
    </row>
    <row r="584" spans="6:31" ht="15.75" customHeight="1" x14ac:dyDescent="0.15">
      <c r="F584" s="18"/>
      <c r="I584" s="18"/>
      <c r="J584" s="18"/>
      <c r="M584" s="18"/>
      <c r="X584" s="18"/>
      <c r="AE584" s="18"/>
    </row>
    <row r="585" spans="6:31" ht="15.75" customHeight="1" x14ac:dyDescent="0.15">
      <c r="F585" s="18"/>
      <c r="I585" s="18"/>
      <c r="J585" s="18"/>
      <c r="M585" s="18"/>
      <c r="X585" s="18"/>
      <c r="AE585" s="18"/>
    </row>
    <row r="586" spans="6:31" ht="15.75" customHeight="1" x14ac:dyDescent="0.15">
      <c r="F586" s="18"/>
      <c r="I586" s="18"/>
      <c r="J586" s="18"/>
      <c r="M586" s="18"/>
      <c r="X586" s="18"/>
      <c r="AE586" s="18"/>
    </row>
    <row r="587" spans="6:31" ht="15.75" customHeight="1" x14ac:dyDescent="0.15">
      <c r="F587" s="18"/>
      <c r="I587" s="18"/>
      <c r="J587" s="18"/>
      <c r="M587" s="18"/>
      <c r="X587" s="18"/>
      <c r="AE587" s="18"/>
    </row>
    <row r="588" spans="6:31" ht="15.75" customHeight="1" x14ac:dyDescent="0.15">
      <c r="F588" s="18"/>
      <c r="I588" s="18"/>
      <c r="J588" s="18"/>
      <c r="M588" s="18"/>
      <c r="X588" s="18"/>
      <c r="AE588" s="18"/>
    </row>
    <row r="589" spans="6:31" ht="15.75" customHeight="1" x14ac:dyDescent="0.15">
      <c r="F589" s="18"/>
      <c r="I589" s="18"/>
      <c r="J589" s="18"/>
      <c r="M589" s="18"/>
      <c r="X589" s="18"/>
      <c r="AE589" s="18"/>
    </row>
    <row r="590" spans="6:31" ht="15.75" customHeight="1" x14ac:dyDescent="0.15">
      <c r="F590" s="18"/>
      <c r="I590" s="18"/>
      <c r="J590" s="18"/>
      <c r="M590" s="18"/>
      <c r="X590" s="18"/>
      <c r="AE590" s="18"/>
    </row>
    <row r="591" spans="6:31" ht="15.75" customHeight="1" x14ac:dyDescent="0.15">
      <c r="F591" s="18"/>
      <c r="I591" s="18"/>
      <c r="J591" s="18"/>
      <c r="M591" s="18"/>
      <c r="X591" s="18"/>
      <c r="AE591" s="18"/>
    </row>
    <row r="592" spans="6:31" ht="15.75" customHeight="1" x14ac:dyDescent="0.15">
      <c r="F592" s="18"/>
      <c r="I592" s="18"/>
      <c r="J592" s="18"/>
      <c r="M592" s="18"/>
      <c r="X592" s="18"/>
      <c r="AE592" s="18"/>
    </row>
    <row r="593" spans="6:31" ht="15.75" customHeight="1" x14ac:dyDescent="0.15">
      <c r="F593" s="18"/>
      <c r="I593" s="18"/>
      <c r="J593" s="18"/>
      <c r="M593" s="18"/>
      <c r="X593" s="18"/>
      <c r="AE593" s="18"/>
    </row>
    <row r="594" spans="6:31" ht="15.75" customHeight="1" x14ac:dyDescent="0.15">
      <c r="F594" s="18"/>
      <c r="I594" s="18"/>
      <c r="J594" s="18"/>
      <c r="M594" s="18"/>
      <c r="X594" s="18"/>
      <c r="AE594" s="18"/>
    </row>
    <row r="595" spans="6:31" ht="15.75" customHeight="1" x14ac:dyDescent="0.15">
      <c r="F595" s="18"/>
      <c r="I595" s="18"/>
      <c r="J595" s="18"/>
      <c r="M595" s="18"/>
      <c r="X595" s="18"/>
      <c r="AE595" s="18"/>
    </row>
    <row r="596" spans="6:31" ht="15.75" customHeight="1" x14ac:dyDescent="0.15">
      <c r="F596" s="18"/>
      <c r="I596" s="18"/>
      <c r="J596" s="18"/>
      <c r="M596" s="18"/>
      <c r="X596" s="18"/>
      <c r="AE596" s="18"/>
    </row>
    <row r="597" spans="6:31" ht="15.75" customHeight="1" x14ac:dyDescent="0.15">
      <c r="F597" s="18"/>
      <c r="I597" s="18"/>
      <c r="J597" s="18"/>
      <c r="M597" s="18"/>
      <c r="X597" s="18"/>
      <c r="AE597" s="18"/>
    </row>
    <row r="598" spans="6:31" ht="15.75" customHeight="1" x14ac:dyDescent="0.15">
      <c r="F598" s="18"/>
      <c r="I598" s="18"/>
      <c r="J598" s="18"/>
      <c r="M598" s="18"/>
      <c r="X598" s="18"/>
      <c r="AE598" s="18"/>
    </row>
    <row r="599" spans="6:31" ht="15.75" customHeight="1" x14ac:dyDescent="0.15">
      <c r="F599" s="18"/>
      <c r="I599" s="18"/>
      <c r="J599" s="18"/>
      <c r="M599" s="18"/>
      <c r="X599" s="18"/>
      <c r="AE599" s="18"/>
    </row>
    <row r="600" spans="6:31" ht="15.75" customHeight="1" x14ac:dyDescent="0.15">
      <c r="F600" s="18"/>
      <c r="I600" s="18"/>
      <c r="J600" s="18"/>
      <c r="M600" s="18"/>
      <c r="X600" s="18"/>
      <c r="AE600" s="18"/>
    </row>
    <row r="601" spans="6:31" ht="15.75" customHeight="1" x14ac:dyDescent="0.15">
      <c r="F601" s="18"/>
      <c r="I601" s="18"/>
      <c r="J601" s="18"/>
      <c r="M601" s="18"/>
      <c r="X601" s="18"/>
      <c r="AE601" s="18"/>
    </row>
    <row r="602" spans="6:31" ht="15.75" customHeight="1" x14ac:dyDescent="0.15">
      <c r="F602" s="18"/>
      <c r="I602" s="18"/>
      <c r="J602" s="18"/>
      <c r="M602" s="18"/>
      <c r="X602" s="18"/>
      <c r="AE602" s="18"/>
    </row>
    <row r="603" spans="6:31" ht="15.75" customHeight="1" x14ac:dyDescent="0.15">
      <c r="F603" s="18"/>
      <c r="I603" s="18"/>
      <c r="J603" s="18"/>
      <c r="M603" s="18"/>
      <c r="X603" s="18"/>
      <c r="AE603" s="18"/>
    </row>
    <row r="604" spans="6:31" ht="15.75" customHeight="1" x14ac:dyDescent="0.15">
      <c r="F604" s="18"/>
      <c r="I604" s="18"/>
      <c r="J604" s="18"/>
      <c r="M604" s="18"/>
      <c r="X604" s="18"/>
      <c r="AE604" s="18"/>
    </row>
    <row r="605" spans="6:31" ht="15.75" customHeight="1" x14ac:dyDescent="0.15">
      <c r="F605" s="18"/>
      <c r="I605" s="18"/>
      <c r="J605" s="18"/>
      <c r="M605" s="18"/>
      <c r="X605" s="18"/>
      <c r="AE605" s="18"/>
    </row>
    <row r="606" spans="6:31" ht="15.75" customHeight="1" x14ac:dyDescent="0.15">
      <c r="F606" s="18"/>
      <c r="I606" s="18"/>
      <c r="J606" s="18"/>
      <c r="M606" s="18"/>
      <c r="X606" s="18"/>
      <c r="AE606" s="18"/>
    </row>
    <row r="607" spans="6:31" ht="15.75" customHeight="1" x14ac:dyDescent="0.15">
      <c r="F607" s="18"/>
      <c r="I607" s="18"/>
      <c r="J607" s="18"/>
      <c r="M607" s="18"/>
      <c r="X607" s="18"/>
      <c r="AE607" s="18"/>
    </row>
    <row r="608" spans="6:31" ht="15.75" customHeight="1" x14ac:dyDescent="0.15">
      <c r="F608" s="18"/>
      <c r="I608" s="18"/>
      <c r="J608" s="18"/>
      <c r="M608" s="18"/>
      <c r="X608" s="18"/>
      <c r="AE608" s="18"/>
    </row>
    <row r="609" spans="6:31" ht="15.75" customHeight="1" x14ac:dyDescent="0.15">
      <c r="F609" s="18"/>
      <c r="I609" s="18"/>
      <c r="J609" s="18"/>
      <c r="M609" s="18"/>
      <c r="X609" s="18"/>
      <c r="AE609" s="18"/>
    </row>
    <row r="610" spans="6:31" ht="15.75" customHeight="1" x14ac:dyDescent="0.15">
      <c r="F610" s="18"/>
      <c r="I610" s="18"/>
      <c r="J610" s="18"/>
      <c r="M610" s="18"/>
      <c r="X610" s="18"/>
      <c r="AE610" s="18"/>
    </row>
    <row r="611" spans="6:31" ht="15.75" customHeight="1" x14ac:dyDescent="0.15">
      <c r="F611" s="18"/>
      <c r="I611" s="18"/>
      <c r="J611" s="18"/>
      <c r="M611" s="18"/>
      <c r="X611" s="18"/>
      <c r="AE611" s="18"/>
    </row>
    <row r="612" spans="6:31" ht="15.75" customHeight="1" x14ac:dyDescent="0.15">
      <c r="F612" s="18"/>
      <c r="I612" s="18"/>
      <c r="J612" s="18"/>
      <c r="M612" s="18"/>
      <c r="X612" s="18"/>
      <c r="AE612" s="18"/>
    </row>
    <row r="613" spans="6:31" ht="15.75" customHeight="1" x14ac:dyDescent="0.15">
      <c r="F613" s="18"/>
      <c r="I613" s="18"/>
      <c r="J613" s="18"/>
      <c r="M613" s="18"/>
      <c r="X613" s="18"/>
      <c r="AE613" s="18"/>
    </row>
    <row r="614" spans="6:31" ht="15.75" customHeight="1" x14ac:dyDescent="0.15">
      <c r="F614" s="18"/>
      <c r="I614" s="18"/>
      <c r="J614" s="18"/>
      <c r="M614" s="18"/>
      <c r="X614" s="18"/>
      <c r="AE614" s="18"/>
    </row>
    <row r="615" spans="6:31" ht="15.75" customHeight="1" x14ac:dyDescent="0.15">
      <c r="F615" s="18"/>
      <c r="I615" s="18"/>
      <c r="J615" s="18"/>
      <c r="M615" s="18"/>
      <c r="X615" s="18"/>
      <c r="AE615" s="18"/>
    </row>
    <row r="616" spans="6:31" ht="15.75" customHeight="1" x14ac:dyDescent="0.15">
      <c r="F616" s="18"/>
      <c r="I616" s="18"/>
      <c r="J616" s="18"/>
      <c r="M616" s="18"/>
      <c r="X616" s="18"/>
      <c r="AE616" s="18"/>
    </row>
    <row r="617" spans="6:31" ht="15.75" customHeight="1" x14ac:dyDescent="0.15">
      <c r="F617" s="18"/>
      <c r="I617" s="18"/>
      <c r="J617" s="18"/>
      <c r="M617" s="18"/>
      <c r="X617" s="18"/>
      <c r="AE617" s="18"/>
    </row>
    <row r="618" spans="6:31" ht="15.75" customHeight="1" x14ac:dyDescent="0.15">
      <c r="F618" s="18"/>
      <c r="I618" s="18"/>
      <c r="J618" s="18"/>
      <c r="M618" s="18"/>
      <c r="X618" s="18"/>
      <c r="AE618" s="18"/>
    </row>
    <row r="619" spans="6:31" ht="15.75" customHeight="1" x14ac:dyDescent="0.15">
      <c r="F619" s="18"/>
      <c r="I619" s="18"/>
      <c r="J619" s="18"/>
      <c r="M619" s="18"/>
      <c r="X619" s="18"/>
      <c r="AE619" s="18"/>
    </row>
    <row r="620" spans="6:31" ht="15.75" customHeight="1" x14ac:dyDescent="0.15">
      <c r="F620" s="18"/>
      <c r="I620" s="18"/>
      <c r="J620" s="18"/>
      <c r="M620" s="18"/>
      <c r="X620" s="18"/>
      <c r="AE620" s="18"/>
    </row>
    <row r="621" spans="6:31" ht="15.75" customHeight="1" x14ac:dyDescent="0.15">
      <c r="F621" s="18"/>
      <c r="I621" s="18"/>
      <c r="J621" s="18"/>
      <c r="M621" s="18"/>
      <c r="X621" s="18"/>
      <c r="AE621" s="18"/>
    </row>
    <row r="622" spans="6:31" ht="15.75" customHeight="1" x14ac:dyDescent="0.15">
      <c r="F622" s="18"/>
      <c r="I622" s="18"/>
      <c r="J622" s="18"/>
      <c r="M622" s="18"/>
      <c r="X622" s="18"/>
      <c r="AE622" s="18"/>
    </row>
    <row r="623" spans="6:31" ht="15.75" customHeight="1" x14ac:dyDescent="0.15">
      <c r="F623" s="18"/>
      <c r="I623" s="18"/>
      <c r="J623" s="18"/>
      <c r="M623" s="18"/>
      <c r="X623" s="18"/>
      <c r="AE623" s="18"/>
    </row>
    <row r="624" spans="6:31" ht="15.75" customHeight="1" x14ac:dyDescent="0.15">
      <c r="F624" s="18"/>
      <c r="I624" s="18"/>
      <c r="J624" s="18"/>
      <c r="M624" s="18"/>
      <c r="X624" s="18"/>
      <c r="AE624" s="18"/>
    </row>
    <row r="625" spans="6:31" ht="15.75" customHeight="1" x14ac:dyDescent="0.15">
      <c r="F625" s="18"/>
      <c r="I625" s="18"/>
      <c r="J625" s="18"/>
      <c r="M625" s="18"/>
      <c r="X625" s="18"/>
      <c r="AE625" s="18"/>
    </row>
    <row r="626" spans="6:31" ht="15.75" customHeight="1" x14ac:dyDescent="0.15">
      <c r="F626" s="18"/>
      <c r="I626" s="18"/>
      <c r="J626" s="18"/>
      <c r="M626" s="18"/>
      <c r="X626" s="18"/>
      <c r="AE626" s="18"/>
    </row>
    <row r="627" spans="6:31" ht="15.75" customHeight="1" x14ac:dyDescent="0.15">
      <c r="F627" s="18"/>
      <c r="I627" s="18"/>
      <c r="J627" s="18"/>
      <c r="M627" s="18"/>
      <c r="X627" s="18"/>
      <c r="AE627" s="18"/>
    </row>
    <row r="628" spans="6:31" ht="15.75" customHeight="1" x14ac:dyDescent="0.15">
      <c r="F628" s="18"/>
      <c r="I628" s="18"/>
      <c r="J628" s="18"/>
      <c r="M628" s="18"/>
      <c r="X628" s="18"/>
      <c r="AE628" s="18"/>
    </row>
    <row r="629" spans="6:31" ht="15.75" customHeight="1" x14ac:dyDescent="0.15">
      <c r="F629" s="18"/>
      <c r="I629" s="18"/>
      <c r="J629" s="18"/>
      <c r="M629" s="18"/>
      <c r="X629" s="18"/>
      <c r="AE629" s="18"/>
    </row>
    <row r="630" spans="6:31" ht="15.75" customHeight="1" x14ac:dyDescent="0.15">
      <c r="F630" s="18"/>
      <c r="I630" s="18"/>
      <c r="J630" s="18"/>
      <c r="M630" s="18"/>
      <c r="X630" s="18"/>
      <c r="AE630" s="18"/>
    </row>
    <row r="631" spans="6:31" ht="15.75" customHeight="1" x14ac:dyDescent="0.15">
      <c r="F631" s="18"/>
      <c r="I631" s="18"/>
      <c r="J631" s="18"/>
      <c r="M631" s="18"/>
      <c r="X631" s="18"/>
      <c r="AE631" s="18"/>
    </row>
    <row r="632" spans="6:31" ht="15.75" customHeight="1" x14ac:dyDescent="0.15">
      <c r="F632" s="18"/>
      <c r="I632" s="18"/>
      <c r="J632" s="18"/>
      <c r="M632" s="18"/>
      <c r="X632" s="18"/>
      <c r="AE632" s="18"/>
    </row>
    <row r="633" spans="6:31" ht="15.75" customHeight="1" x14ac:dyDescent="0.15">
      <c r="F633" s="18"/>
      <c r="I633" s="18"/>
      <c r="J633" s="18"/>
      <c r="M633" s="18"/>
      <c r="X633" s="18"/>
      <c r="AE633" s="18"/>
    </row>
    <row r="634" spans="6:31" ht="15.75" customHeight="1" x14ac:dyDescent="0.15">
      <c r="F634" s="18"/>
      <c r="I634" s="18"/>
      <c r="J634" s="18"/>
      <c r="M634" s="18"/>
      <c r="X634" s="18"/>
      <c r="AE634" s="18"/>
    </row>
    <row r="635" spans="6:31" ht="15.75" customHeight="1" x14ac:dyDescent="0.15">
      <c r="F635" s="18"/>
      <c r="I635" s="18"/>
      <c r="J635" s="18"/>
      <c r="M635" s="18"/>
      <c r="X635" s="18"/>
      <c r="AE635" s="18"/>
    </row>
    <row r="636" spans="6:31" ht="15.75" customHeight="1" x14ac:dyDescent="0.15">
      <c r="F636" s="18"/>
      <c r="I636" s="18"/>
      <c r="J636" s="18"/>
      <c r="M636" s="18"/>
      <c r="X636" s="18"/>
      <c r="AE636" s="18"/>
    </row>
    <row r="637" spans="6:31" ht="15.75" customHeight="1" x14ac:dyDescent="0.15">
      <c r="F637" s="18"/>
      <c r="I637" s="18"/>
      <c r="J637" s="18"/>
      <c r="M637" s="18"/>
      <c r="X637" s="18"/>
      <c r="AE637" s="18"/>
    </row>
    <row r="638" spans="6:31" ht="15.75" customHeight="1" x14ac:dyDescent="0.15">
      <c r="F638" s="18"/>
      <c r="I638" s="18"/>
      <c r="J638" s="18"/>
      <c r="M638" s="18"/>
      <c r="X638" s="18"/>
      <c r="AE638" s="18"/>
    </row>
    <row r="639" spans="6:31" ht="15.75" customHeight="1" x14ac:dyDescent="0.15">
      <c r="F639" s="18"/>
      <c r="I639" s="18"/>
      <c r="J639" s="18"/>
      <c r="M639" s="18"/>
      <c r="X639" s="18"/>
      <c r="AE639" s="18"/>
    </row>
    <row r="640" spans="6:31" ht="15.75" customHeight="1" x14ac:dyDescent="0.15">
      <c r="F640" s="18"/>
      <c r="I640" s="18"/>
      <c r="J640" s="18"/>
      <c r="M640" s="18"/>
      <c r="X640" s="18"/>
      <c r="AE640" s="18"/>
    </row>
    <row r="641" spans="6:31" ht="15.75" customHeight="1" x14ac:dyDescent="0.15">
      <c r="F641" s="18"/>
      <c r="I641" s="18"/>
      <c r="J641" s="18"/>
      <c r="M641" s="18"/>
      <c r="X641" s="18"/>
      <c r="AE641" s="18"/>
    </row>
    <row r="642" spans="6:31" ht="15.75" customHeight="1" x14ac:dyDescent="0.15">
      <c r="F642" s="18"/>
      <c r="I642" s="18"/>
      <c r="J642" s="18"/>
      <c r="M642" s="18"/>
      <c r="X642" s="18"/>
      <c r="AE642" s="18"/>
    </row>
    <row r="643" spans="6:31" ht="15.75" customHeight="1" x14ac:dyDescent="0.15">
      <c r="F643" s="18"/>
      <c r="I643" s="18"/>
      <c r="J643" s="18"/>
      <c r="M643" s="18"/>
      <c r="X643" s="18"/>
      <c r="AE643" s="18"/>
    </row>
    <row r="644" spans="6:31" ht="15.75" customHeight="1" x14ac:dyDescent="0.15">
      <c r="F644" s="18"/>
      <c r="I644" s="18"/>
      <c r="J644" s="18"/>
      <c r="M644" s="18"/>
      <c r="X644" s="18"/>
      <c r="AE644" s="18"/>
    </row>
    <row r="645" spans="6:31" ht="15.75" customHeight="1" x14ac:dyDescent="0.15">
      <c r="F645" s="18"/>
      <c r="I645" s="18"/>
      <c r="J645" s="18"/>
      <c r="M645" s="18"/>
      <c r="X645" s="18"/>
      <c r="AE645" s="18"/>
    </row>
    <row r="646" spans="6:31" ht="15.75" customHeight="1" x14ac:dyDescent="0.15">
      <c r="F646" s="18"/>
      <c r="I646" s="18"/>
      <c r="J646" s="18"/>
      <c r="M646" s="18"/>
      <c r="X646" s="18"/>
      <c r="AE646" s="18"/>
    </row>
    <row r="647" spans="6:31" ht="15.75" customHeight="1" x14ac:dyDescent="0.15">
      <c r="F647" s="18"/>
      <c r="I647" s="18"/>
      <c r="J647" s="18"/>
      <c r="M647" s="18"/>
      <c r="X647" s="18"/>
      <c r="AE647" s="18"/>
    </row>
    <row r="648" spans="6:31" ht="15.75" customHeight="1" x14ac:dyDescent="0.15">
      <c r="F648" s="18"/>
      <c r="I648" s="18"/>
      <c r="J648" s="18"/>
      <c r="M648" s="18"/>
      <c r="X648" s="18"/>
      <c r="AE648" s="18"/>
    </row>
    <row r="649" spans="6:31" ht="15.75" customHeight="1" x14ac:dyDescent="0.15">
      <c r="F649" s="18"/>
      <c r="I649" s="18"/>
      <c r="J649" s="18"/>
      <c r="M649" s="18"/>
      <c r="X649" s="18"/>
      <c r="AE649" s="18"/>
    </row>
    <row r="650" spans="6:31" ht="15.75" customHeight="1" x14ac:dyDescent="0.15">
      <c r="F650" s="18"/>
      <c r="I650" s="18"/>
      <c r="J650" s="18"/>
      <c r="M650" s="18"/>
      <c r="X650" s="18"/>
      <c r="AE650" s="18"/>
    </row>
    <row r="651" spans="6:31" ht="15.75" customHeight="1" x14ac:dyDescent="0.15">
      <c r="F651" s="18"/>
      <c r="I651" s="18"/>
      <c r="J651" s="18"/>
      <c r="M651" s="18"/>
      <c r="X651" s="18"/>
      <c r="AE651" s="18"/>
    </row>
    <row r="652" spans="6:31" ht="15.75" customHeight="1" x14ac:dyDescent="0.15">
      <c r="F652" s="18"/>
      <c r="I652" s="18"/>
      <c r="J652" s="18"/>
      <c r="M652" s="18"/>
      <c r="X652" s="18"/>
      <c r="AE652" s="18"/>
    </row>
    <row r="653" spans="6:31" ht="15.75" customHeight="1" x14ac:dyDescent="0.15">
      <c r="F653" s="18"/>
      <c r="I653" s="18"/>
      <c r="J653" s="18"/>
      <c r="M653" s="18"/>
      <c r="X653" s="18"/>
      <c r="AE653" s="18"/>
    </row>
    <row r="654" spans="6:31" ht="15.75" customHeight="1" x14ac:dyDescent="0.15">
      <c r="F654" s="18"/>
      <c r="I654" s="18"/>
      <c r="J654" s="18"/>
      <c r="M654" s="18"/>
      <c r="X654" s="18"/>
      <c r="AE654" s="18"/>
    </row>
    <row r="655" spans="6:31" ht="15.75" customHeight="1" x14ac:dyDescent="0.15">
      <c r="F655" s="18"/>
      <c r="I655" s="18"/>
      <c r="J655" s="18"/>
      <c r="M655" s="18"/>
      <c r="X655" s="18"/>
      <c r="AE655" s="18"/>
    </row>
    <row r="656" spans="6:31" ht="15.75" customHeight="1" x14ac:dyDescent="0.15">
      <c r="F656" s="18"/>
      <c r="I656" s="18"/>
      <c r="J656" s="18"/>
      <c r="M656" s="18"/>
      <c r="X656" s="18"/>
      <c r="AE656" s="18"/>
    </row>
    <row r="657" spans="6:31" ht="15.75" customHeight="1" x14ac:dyDescent="0.15">
      <c r="F657" s="18"/>
      <c r="I657" s="18"/>
      <c r="J657" s="18"/>
      <c r="M657" s="18"/>
      <c r="X657" s="18"/>
      <c r="AE657" s="18"/>
    </row>
    <row r="658" spans="6:31" ht="15.75" customHeight="1" x14ac:dyDescent="0.15">
      <c r="F658" s="18"/>
      <c r="I658" s="18"/>
      <c r="J658" s="18"/>
      <c r="M658" s="18"/>
      <c r="X658" s="18"/>
      <c r="AE658" s="18"/>
    </row>
    <row r="659" spans="6:31" ht="15.75" customHeight="1" x14ac:dyDescent="0.15">
      <c r="F659" s="18"/>
      <c r="I659" s="18"/>
      <c r="J659" s="18"/>
      <c r="M659" s="18"/>
      <c r="X659" s="18"/>
      <c r="AE659" s="18"/>
    </row>
    <row r="660" spans="6:31" ht="15.75" customHeight="1" x14ac:dyDescent="0.15">
      <c r="F660" s="18"/>
      <c r="I660" s="18"/>
      <c r="J660" s="18"/>
      <c r="M660" s="18"/>
      <c r="X660" s="18"/>
      <c r="AE660" s="18"/>
    </row>
    <row r="661" spans="6:31" ht="15.75" customHeight="1" x14ac:dyDescent="0.15">
      <c r="F661" s="18"/>
      <c r="I661" s="18"/>
      <c r="J661" s="18"/>
      <c r="M661" s="18"/>
      <c r="X661" s="18"/>
      <c r="AE661" s="18"/>
    </row>
    <row r="662" spans="6:31" ht="15.75" customHeight="1" x14ac:dyDescent="0.15">
      <c r="F662" s="18"/>
      <c r="I662" s="18"/>
      <c r="J662" s="18"/>
      <c r="M662" s="18"/>
      <c r="X662" s="18"/>
      <c r="AE662" s="18"/>
    </row>
    <row r="663" spans="6:31" ht="15.75" customHeight="1" x14ac:dyDescent="0.15">
      <c r="F663" s="18"/>
      <c r="I663" s="18"/>
      <c r="J663" s="18"/>
      <c r="M663" s="18"/>
      <c r="X663" s="18"/>
      <c r="AE663" s="18"/>
    </row>
    <row r="664" spans="6:31" ht="15.75" customHeight="1" x14ac:dyDescent="0.15">
      <c r="F664" s="18"/>
      <c r="I664" s="18"/>
      <c r="J664" s="18"/>
      <c r="M664" s="18"/>
      <c r="X664" s="18"/>
      <c r="AE664" s="18"/>
    </row>
    <row r="665" spans="6:31" ht="15.75" customHeight="1" x14ac:dyDescent="0.15">
      <c r="F665" s="18"/>
      <c r="I665" s="18"/>
      <c r="J665" s="18"/>
      <c r="M665" s="18"/>
      <c r="X665" s="18"/>
      <c r="AE665" s="18"/>
    </row>
    <row r="666" spans="6:31" ht="15.75" customHeight="1" x14ac:dyDescent="0.15">
      <c r="F666" s="18"/>
      <c r="I666" s="18"/>
      <c r="J666" s="18"/>
      <c r="M666" s="18"/>
      <c r="X666" s="18"/>
      <c r="AE666" s="18"/>
    </row>
    <row r="667" spans="6:31" ht="15.75" customHeight="1" x14ac:dyDescent="0.15">
      <c r="F667" s="18"/>
      <c r="I667" s="18"/>
      <c r="J667" s="18"/>
      <c r="M667" s="18"/>
      <c r="X667" s="18"/>
      <c r="AE667" s="18"/>
    </row>
    <row r="668" spans="6:31" ht="15.75" customHeight="1" x14ac:dyDescent="0.15">
      <c r="F668" s="18"/>
      <c r="I668" s="18"/>
      <c r="J668" s="18"/>
      <c r="M668" s="18"/>
      <c r="X668" s="18"/>
      <c r="AE668" s="18"/>
    </row>
    <row r="669" spans="6:31" ht="15.75" customHeight="1" x14ac:dyDescent="0.15">
      <c r="F669" s="18"/>
      <c r="I669" s="18"/>
      <c r="J669" s="18"/>
      <c r="M669" s="18"/>
      <c r="X669" s="18"/>
      <c r="AE669" s="18"/>
    </row>
    <row r="670" spans="6:31" ht="15.75" customHeight="1" x14ac:dyDescent="0.15">
      <c r="F670" s="18"/>
      <c r="I670" s="18"/>
      <c r="J670" s="18"/>
      <c r="M670" s="18"/>
      <c r="X670" s="18"/>
      <c r="AE670" s="18"/>
    </row>
    <row r="671" spans="6:31" ht="15.75" customHeight="1" x14ac:dyDescent="0.15">
      <c r="F671" s="18"/>
      <c r="I671" s="18"/>
      <c r="J671" s="18"/>
      <c r="M671" s="18"/>
      <c r="X671" s="18"/>
      <c r="AE671" s="18"/>
    </row>
    <row r="672" spans="6:31" ht="15.75" customHeight="1" x14ac:dyDescent="0.15">
      <c r="F672" s="18"/>
      <c r="I672" s="18"/>
      <c r="J672" s="18"/>
      <c r="M672" s="18"/>
      <c r="X672" s="18"/>
      <c r="AE672" s="18"/>
    </row>
    <row r="673" spans="6:31" ht="15.75" customHeight="1" x14ac:dyDescent="0.15">
      <c r="F673" s="18"/>
      <c r="I673" s="18"/>
      <c r="J673" s="18"/>
      <c r="M673" s="18"/>
      <c r="X673" s="18"/>
      <c r="AE673" s="18"/>
    </row>
    <row r="674" spans="6:31" ht="15.75" customHeight="1" x14ac:dyDescent="0.15">
      <c r="F674" s="18"/>
      <c r="I674" s="18"/>
      <c r="J674" s="18"/>
      <c r="M674" s="18"/>
      <c r="X674" s="18"/>
      <c r="AE674" s="18"/>
    </row>
    <row r="675" spans="6:31" ht="15.75" customHeight="1" x14ac:dyDescent="0.15">
      <c r="F675" s="18"/>
      <c r="I675" s="18"/>
      <c r="J675" s="18"/>
      <c r="M675" s="18"/>
      <c r="X675" s="18"/>
      <c r="AE675" s="18"/>
    </row>
    <row r="676" spans="6:31" ht="15.75" customHeight="1" x14ac:dyDescent="0.15">
      <c r="F676" s="18"/>
      <c r="I676" s="18"/>
      <c r="J676" s="18"/>
      <c r="M676" s="18"/>
      <c r="X676" s="18"/>
      <c r="AE676" s="18"/>
    </row>
    <row r="677" spans="6:31" ht="15.75" customHeight="1" x14ac:dyDescent="0.15">
      <c r="F677" s="18"/>
      <c r="I677" s="18"/>
      <c r="J677" s="18"/>
      <c r="M677" s="18"/>
      <c r="X677" s="18"/>
      <c r="AE677" s="18"/>
    </row>
    <row r="678" spans="6:31" ht="15.75" customHeight="1" x14ac:dyDescent="0.15">
      <c r="F678" s="18"/>
      <c r="I678" s="18"/>
      <c r="J678" s="18"/>
      <c r="M678" s="18"/>
      <c r="X678" s="18"/>
      <c r="AE678" s="18"/>
    </row>
    <row r="679" spans="6:31" ht="15.75" customHeight="1" x14ac:dyDescent="0.15">
      <c r="F679" s="18"/>
      <c r="I679" s="18"/>
      <c r="J679" s="18"/>
      <c r="M679" s="18"/>
      <c r="X679" s="18"/>
      <c r="AE679" s="18"/>
    </row>
    <row r="680" spans="6:31" ht="15.75" customHeight="1" x14ac:dyDescent="0.15">
      <c r="F680" s="18"/>
      <c r="I680" s="18"/>
      <c r="J680" s="18"/>
      <c r="M680" s="18"/>
      <c r="X680" s="18"/>
      <c r="AE680" s="18"/>
    </row>
    <row r="681" spans="6:31" ht="15.75" customHeight="1" x14ac:dyDescent="0.15">
      <c r="F681" s="18"/>
      <c r="I681" s="18"/>
      <c r="J681" s="18"/>
      <c r="M681" s="18"/>
      <c r="X681" s="18"/>
      <c r="AE681" s="18"/>
    </row>
    <row r="682" spans="6:31" ht="15.75" customHeight="1" x14ac:dyDescent="0.15">
      <c r="F682" s="18"/>
      <c r="I682" s="18"/>
      <c r="J682" s="18"/>
      <c r="M682" s="18"/>
      <c r="X682" s="18"/>
      <c r="AE682" s="18"/>
    </row>
    <row r="683" spans="6:31" ht="15.75" customHeight="1" x14ac:dyDescent="0.15">
      <c r="F683" s="18"/>
      <c r="I683" s="18"/>
      <c r="J683" s="18"/>
      <c r="M683" s="18"/>
      <c r="X683" s="18"/>
      <c r="AE683" s="18"/>
    </row>
    <row r="684" spans="6:31" ht="15.75" customHeight="1" x14ac:dyDescent="0.15">
      <c r="F684" s="18"/>
      <c r="I684" s="18"/>
      <c r="J684" s="18"/>
      <c r="M684" s="18"/>
      <c r="X684" s="18"/>
      <c r="AE684" s="18"/>
    </row>
    <row r="685" spans="6:31" ht="15.75" customHeight="1" x14ac:dyDescent="0.15">
      <c r="F685" s="18"/>
      <c r="I685" s="18"/>
      <c r="J685" s="18"/>
      <c r="M685" s="18"/>
      <c r="X685" s="18"/>
      <c r="AE685" s="18"/>
    </row>
    <row r="686" spans="6:31" ht="15.75" customHeight="1" x14ac:dyDescent="0.15">
      <c r="F686" s="18"/>
      <c r="I686" s="18"/>
      <c r="J686" s="18"/>
      <c r="M686" s="18"/>
      <c r="X686" s="18"/>
      <c r="AE686" s="18"/>
    </row>
    <row r="687" spans="6:31" ht="15.75" customHeight="1" x14ac:dyDescent="0.15">
      <c r="F687" s="18"/>
      <c r="I687" s="18"/>
      <c r="J687" s="18"/>
      <c r="M687" s="18"/>
      <c r="X687" s="18"/>
      <c r="AE687" s="18"/>
    </row>
    <row r="688" spans="6:31" ht="15.75" customHeight="1" x14ac:dyDescent="0.15">
      <c r="F688" s="18"/>
      <c r="I688" s="18"/>
      <c r="J688" s="18"/>
      <c r="M688" s="18"/>
      <c r="X688" s="18"/>
      <c r="AE688" s="18"/>
    </row>
    <row r="689" spans="6:31" ht="15.75" customHeight="1" x14ac:dyDescent="0.15">
      <c r="F689" s="18"/>
      <c r="I689" s="18"/>
      <c r="J689" s="18"/>
      <c r="M689" s="18"/>
      <c r="X689" s="18"/>
      <c r="AE689" s="18"/>
    </row>
    <row r="690" spans="6:31" ht="15.75" customHeight="1" x14ac:dyDescent="0.15">
      <c r="F690" s="18"/>
      <c r="I690" s="18"/>
      <c r="J690" s="18"/>
      <c r="M690" s="18"/>
      <c r="X690" s="18"/>
      <c r="AE690" s="18"/>
    </row>
    <row r="691" spans="6:31" ht="15.75" customHeight="1" x14ac:dyDescent="0.15">
      <c r="F691" s="18"/>
      <c r="I691" s="18"/>
      <c r="J691" s="18"/>
      <c r="M691" s="18"/>
      <c r="X691" s="18"/>
      <c r="AE691" s="18"/>
    </row>
    <row r="692" spans="6:31" ht="15.75" customHeight="1" x14ac:dyDescent="0.15">
      <c r="F692" s="18"/>
      <c r="I692" s="18"/>
      <c r="J692" s="18"/>
      <c r="M692" s="18"/>
      <c r="X692" s="18"/>
      <c r="AE692" s="18"/>
    </row>
    <row r="693" spans="6:31" ht="15.75" customHeight="1" x14ac:dyDescent="0.15">
      <c r="F693" s="18"/>
      <c r="I693" s="18"/>
      <c r="J693" s="18"/>
      <c r="M693" s="18"/>
      <c r="X693" s="18"/>
      <c r="AE693" s="18"/>
    </row>
    <row r="694" spans="6:31" ht="15.75" customHeight="1" x14ac:dyDescent="0.15">
      <c r="F694" s="18"/>
      <c r="I694" s="18"/>
      <c r="J694" s="18"/>
      <c r="M694" s="18"/>
      <c r="X694" s="18"/>
      <c r="AE694" s="18"/>
    </row>
    <row r="695" spans="6:31" ht="15.75" customHeight="1" x14ac:dyDescent="0.15">
      <c r="F695" s="18"/>
      <c r="I695" s="18"/>
      <c r="J695" s="18"/>
      <c r="M695" s="18"/>
      <c r="X695" s="18"/>
      <c r="AE695" s="18"/>
    </row>
    <row r="696" spans="6:31" ht="15.75" customHeight="1" x14ac:dyDescent="0.15">
      <c r="F696" s="18"/>
      <c r="I696" s="18"/>
      <c r="J696" s="18"/>
      <c r="M696" s="18"/>
      <c r="X696" s="18"/>
      <c r="AE696" s="18"/>
    </row>
    <row r="697" spans="6:31" ht="15.75" customHeight="1" x14ac:dyDescent="0.15">
      <c r="F697" s="18"/>
      <c r="I697" s="18"/>
      <c r="J697" s="18"/>
      <c r="M697" s="18"/>
      <c r="X697" s="18"/>
      <c r="AE697" s="18"/>
    </row>
    <row r="698" spans="6:31" ht="15.75" customHeight="1" x14ac:dyDescent="0.15">
      <c r="F698" s="18"/>
      <c r="I698" s="18"/>
      <c r="J698" s="18"/>
      <c r="M698" s="18"/>
      <c r="X698" s="18"/>
      <c r="AE698" s="18"/>
    </row>
    <row r="699" spans="6:31" ht="15.75" customHeight="1" x14ac:dyDescent="0.15">
      <c r="F699" s="18"/>
      <c r="I699" s="18"/>
      <c r="J699" s="18"/>
      <c r="M699" s="18"/>
      <c r="X699" s="18"/>
      <c r="AE699" s="18"/>
    </row>
    <row r="700" spans="6:31" ht="15.75" customHeight="1" x14ac:dyDescent="0.15">
      <c r="F700" s="18"/>
      <c r="I700" s="18"/>
      <c r="J700" s="18"/>
      <c r="M700" s="18"/>
      <c r="X700" s="18"/>
      <c r="AE700" s="18"/>
    </row>
    <row r="701" spans="6:31" ht="15.75" customHeight="1" x14ac:dyDescent="0.15">
      <c r="F701" s="18"/>
      <c r="I701" s="18"/>
      <c r="J701" s="18"/>
      <c r="M701" s="18"/>
      <c r="X701" s="18"/>
      <c r="AE701" s="18"/>
    </row>
    <row r="702" spans="6:31" ht="15.75" customHeight="1" x14ac:dyDescent="0.15">
      <c r="F702" s="18"/>
      <c r="I702" s="18"/>
      <c r="J702" s="18"/>
      <c r="M702" s="18"/>
      <c r="X702" s="18"/>
      <c r="AE702" s="18"/>
    </row>
    <row r="703" spans="6:31" ht="15.75" customHeight="1" x14ac:dyDescent="0.15">
      <c r="F703" s="18"/>
      <c r="I703" s="18"/>
      <c r="J703" s="18"/>
      <c r="M703" s="18"/>
      <c r="X703" s="18"/>
      <c r="AE703" s="18"/>
    </row>
    <row r="704" spans="6:31" ht="15.75" customHeight="1" x14ac:dyDescent="0.15">
      <c r="F704" s="18"/>
      <c r="I704" s="18"/>
      <c r="J704" s="18"/>
      <c r="M704" s="18"/>
      <c r="X704" s="18"/>
      <c r="AE704" s="18"/>
    </row>
    <row r="705" spans="6:31" ht="15.75" customHeight="1" x14ac:dyDescent="0.15">
      <c r="F705" s="18"/>
      <c r="I705" s="18"/>
      <c r="J705" s="18"/>
      <c r="M705" s="18"/>
      <c r="X705" s="18"/>
      <c r="AE705" s="18"/>
    </row>
    <row r="706" spans="6:31" ht="15.75" customHeight="1" x14ac:dyDescent="0.15">
      <c r="F706" s="18"/>
      <c r="I706" s="18"/>
      <c r="J706" s="18"/>
      <c r="M706" s="18"/>
      <c r="X706" s="18"/>
      <c r="AE706" s="18"/>
    </row>
    <row r="707" spans="6:31" ht="15.75" customHeight="1" x14ac:dyDescent="0.15">
      <c r="F707" s="18"/>
      <c r="I707" s="18"/>
      <c r="J707" s="18"/>
      <c r="M707" s="18"/>
      <c r="X707" s="18"/>
      <c r="AE707" s="18"/>
    </row>
    <row r="708" spans="6:31" ht="15.75" customHeight="1" x14ac:dyDescent="0.15">
      <c r="F708" s="18"/>
      <c r="I708" s="18"/>
      <c r="J708" s="18"/>
      <c r="M708" s="18"/>
      <c r="X708" s="18"/>
      <c r="AE708" s="18"/>
    </row>
    <row r="709" spans="6:31" ht="15.75" customHeight="1" x14ac:dyDescent="0.15">
      <c r="F709" s="18"/>
      <c r="I709" s="18"/>
      <c r="J709" s="18"/>
      <c r="M709" s="18"/>
      <c r="X709" s="18"/>
      <c r="AE709" s="18"/>
    </row>
    <row r="710" spans="6:31" ht="15.75" customHeight="1" x14ac:dyDescent="0.15">
      <c r="F710" s="18"/>
      <c r="I710" s="18"/>
      <c r="J710" s="18"/>
      <c r="M710" s="18"/>
      <c r="X710" s="18"/>
      <c r="AE710" s="18"/>
    </row>
    <row r="711" spans="6:31" ht="15.75" customHeight="1" x14ac:dyDescent="0.15">
      <c r="F711" s="18"/>
      <c r="I711" s="18"/>
      <c r="J711" s="18"/>
      <c r="M711" s="18"/>
      <c r="X711" s="18"/>
      <c r="AE711" s="18"/>
    </row>
    <row r="712" spans="6:31" ht="15.75" customHeight="1" x14ac:dyDescent="0.15">
      <c r="F712" s="18"/>
      <c r="I712" s="18"/>
      <c r="J712" s="18"/>
      <c r="M712" s="18"/>
      <c r="X712" s="18"/>
      <c r="AE712" s="18"/>
    </row>
    <row r="713" spans="6:31" ht="15.75" customHeight="1" x14ac:dyDescent="0.15">
      <c r="F713" s="18"/>
      <c r="I713" s="18"/>
      <c r="J713" s="18"/>
      <c r="M713" s="18"/>
      <c r="X713" s="18"/>
      <c r="AE713" s="18"/>
    </row>
    <row r="714" spans="6:31" ht="15.75" customHeight="1" x14ac:dyDescent="0.15">
      <c r="F714" s="18"/>
      <c r="I714" s="18"/>
      <c r="J714" s="18"/>
      <c r="M714" s="18"/>
      <c r="X714" s="18"/>
      <c r="AE714" s="18"/>
    </row>
    <row r="715" spans="6:31" ht="15.75" customHeight="1" x14ac:dyDescent="0.15">
      <c r="F715" s="18"/>
      <c r="I715" s="18"/>
      <c r="J715" s="18"/>
      <c r="M715" s="18"/>
      <c r="X715" s="18"/>
      <c r="AE715" s="18"/>
    </row>
    <row r="716" spans="6:31" ht="15.75" customHeight="1" x14ac:dyDescent="0.15">
      <c r="F716" s="18"/>
      <c r="I716" s="18"/>
      <c r="J716" s="18"/>
      <c r="M716" s="18"/>
      <c r="X716" s="18"/>
      <c r="AE716" s="18"/>
    </row>
    <row r="717" spans="6:31" ht="15.75" customHeight="1" x14ac:dyDescent="0.15">
      <c r="F717" s="18"/>
      <c r="I717" s="18"/>
      <c r="J717" s="18"/>
      <c r="M717" s="18"/>
      <c r="X717" s="18"/>
      <c r="AE717" s="18"/>
    </row>
    <row r="718" spans="6:31" ht="15.75" customHeight="1" x14ac:dyDescent="0.15">
      <c r="F718" s="18"/>
      <c r="I718" s="18"/>
      <c r="J718" s="18"/>
      <c r="M718" s="18"/>
      <c r="X718" s="18"/>
      <c r="AE718" s="18"/>
    </row>
    <row r="719" spans="6:31" ht="15.75" customHeight="1" x14ac:dyDescent="0.15">
      <c r="F719" s="18"/>
      <c r="I719" s="18"/>
      <c r="J719" s="18"/>
      <c r="M719" s="18"/>
      <c r="X719" s="18"/>
      <c r="AE719" s="18"/>
    </row>
    <row r="720" spans="6:31" ht="15.75" customHeight="1" x14ac:dyDescent="0.15">
      <c r="F720" s="18"/>
      <c r="I720" s="18"/>
      <c r="J720" s="18"/>
      <c r="M720" s="18"/>
      <c r="X720" s="18"/>
      <c r="AE720" s="18"/>
    </row>
    <row r="721" spans="6:31" ht="15.75" customHeight="1" x14ac:dyDescent="0.15">
      <c r="F721" s="18"/>
      <c r="I721" s="18"/>
      <c r="J721" s="18"/>
      <c r="M721" s="18"/>
      <c r="X721" s="18"/>
      <c r="AE721" s="18"/>
    </row>
    <row r="722" spans="6:31" ht="15.75" customHeight="1" x14ac:dyDescent="0.15">
      <c r="F722" s="18"/>
      <c r="I722" s="18"/>
      <c r="J722" s="18"/>
      <c r="M722" s="18"/>
      <c r="X722" s="18"/>
      <c r="AE722" s="18"/>
    </row>
    <row r="723" spans="6:31" ht="15.75" customHeight="1" x14ac:dyDescent="0.15">
      <c r="F723" s="18"/>
      <c r="I723" s="18"/>
      <c r="J723" s="18"/>
      <c r="M723" s="18"/>
      <c r="X723" s="18"/>
      <c r="AE723" s="18"/>
    </row>
    <row r="724" spans="6:31" ht="15.75" customHeight="1" x14ac:dyDescent="0.15">
      <c r="F724" s="18"/>
      <c r="I724" s="18"/>
      <c r="J724" s="18"/>
      <c r="M724" s="18"/>
      <c r="X724" s="18"/>
      <c r="AE724" s="18"/>
    </row>
    <row r="725" spans="6:31" ht="15.75" customHeight="1" x14ac:dyDescent="0.15">
      <c r="F725" s="18"/>
      <c r="I725" s="18"/>
      <c r="J725" s="18"/>
      <c r="M725" s="18"/>
      <c r="X725" s="18"/>
      <c r="AE725" s="18"/>
    </row>
    <row r="726" spans="6:31" ht="15.75" customHeight="1" x14ac:dyDescent="0.15">
      <c r="F726" s="18"/>
      <c r="I726" s="18"/>
      <c r="J726" s="18"/>
      <c r="M726" s="18"/>
      <c r="X726" s="18"/>
      <c r="AE726" s="18"/>
    </row>
    <row r="727" spans="6:31" ht="15.75" customHeight="1" x14ac:dyDescent="0.15">
      <c r="F727" s="18"/>
      <c r="I727" s="18"/>
      <c r="J727" s="18"/>
      <c r="M727" s="18"/>
      <c r="X727" s="18"/>
      <c r="AE727" s="18"/>
    </row>
    <row r="728" spans="6:31" ht="15.75" customHeight="1" x14ac:dyDescent="0.15">
      <c r="F728" s="18"/>
      <c r="I728" s="18"/>
      <c r="J728" s="18"/>
      <c r="M728" s="18"/>
      <c r="X728" s="18"/>
      <c r="AE728" s="18"/>
    </row>
    <row r="729" spans="6:31" ht="15.75" customHeight="1" x14ac:dyDescent="0.15">
      <c r="F729" s="18"/>
      <c r="I729" s="18"/>
      <c r="J729" s="18"/>
      <c r="M729" s="18"/>
      <c r="X729" s="18"/>
      <c r="AE729" s="18"/>
    </row>
    <row r="730" spans="6:31" ht="15.75" customHeight="1" x14ac:dyDescent="0.15">
      <c r="F730" s="18"/>
      <c r="I730" s="18"/>
      <c r="J730" s="18"/>
      <c r="M730" s="18"/>
      <c r="X730" s="18"/>
      <c r="AE730" s="18"/>
    </row>
    <row r="731" spans="6:31" ht="15.75" customHeight="1" x14ac:dyDescent="0.15">
      <c r="F731" s="18"/>
      <c r="I731" s="18"/>
      <c r="J731" s="18"/>
      <c r="M731" s="18"/>
      <c r="X731" s="18"/>
      <c r="AE731" s="18"/>
    </row>
    <row r="732" spans="6:31" ht="15.75" customHeight="1" x14ac:dyDescent="0.15">
      <c r="F732" s="18"/>
      <c r="I732" s="18"/>
      <c r="J732" s="18"/>
      <c r="M732" s="18"/>
      <c r="X732" s="18"/>
      <c r="AE732" s="18"/>
    </row>
    <row r="733" spans="6:31" ht="15.75" customHeight="1" x14ac:dyDescent="0.15">
      <c r="F733" s="18"/>
      <c r="I733" s="18"/>
      <c r="J733" s="18"/>
      <c r="M733" s="18"/>
      <c r="X733" s="18"/>
      <c r="AE733" s="18"/>
    </row>
    <row r="734" spans="6:31" ht="15.75" customHeight="1" x14ac:dyDescent="0.15">
      <c r="F734" s="18"/>
      <c r="I734" s="18"/>
      <c r="J734" s="18"/>
      <c r="M734" s="18"/>
      <c r="X734" s="18"/>
      <c r="AE734" s="18"/>
    </row>
    <row r="735" spans="6:31" ht="15.75" customHeight="1" x14ac:dyDescent="0.15">
      <c r="F735" s="18"/>
      <c r="I735" s="18"/>
      <c r="J735" s="18"/>
      <c r="M735" s="18"/>
      <c r="X735" s="18"/>
      <c r="AE735" s="18"/>
    </row>
    <row r="736" spans="6:31" ht="15.75" customHeight="1" x14ac:dyDescent="0.15">
      <c r="F736" s="18"/>
      <c r="I736" s="18"/>
      <c r="J736" s="18"/>
      <c r="M736" s="18"/>
      <c r="X736" s="18"/>
      <c r="AE736" s="18"/>
    </row>
    <row r="737" spans="6:31" ht="15.75" customHeight="1" x14ac:dyDescent="0.15">
      <c r="F737" s="18"/>
      <c r="I737" s="18"/>
      <c r="J737" s="18"/>
      <c r="M737" s="18"/>
      <c r="X737" s="18"/>
      <c r="AE737" s="18"/>
    </row>
    <row r="738" spans="6:31" ht="15.75" customHeight="1" x14ac:dyDescent="0.15">
      <c r="F738" s="18"/>
      <c r="I738" s="18"/>
      <c r="J738" s="18"/>
      <c r="M738" s="18"/>
      <c r="X738" s="18"/>
      <c r="AE738" s="18"/>
    </row>
    <row r="739" spans="6:31" ht="15.75" customHeight="1" x14ac:dyDescent="0.15">
      <c r="F739" s="18"/>
      <c r="I739" s="18"/>
      <c r="J739" s="18"/>
      <c r="M739" s="18"/>
      <c r="X739" s="18"/>
      <c r="AE739" s="18"/>
    </row>
    <row r="740" spans="6:31" ht="15.75" customHeight="1" x14ac:dyDescent="0.15">
      <c r="F740" s="18"/>
      <c r="I740" s="18"/>
      <c r="J740" s="18"/>
      <c r="M740" s="18"/>
      <c r="X740" s="18"/>
      <c r="AE740" s="18"/>
    </row>
    <row r="741" spans="6:31" ht="15.75" customHeight="1" x14ac:dyDescent="0.15">
      <c r="F741" s="18"/>
      <c r="I741" s="18"/>
      <c r="J741" s="18"/>
      <c r="M741" s="18"/>
      <c r="X741" s="18"/>
      <c r="AE741" s="18"/>
    </row>
    <row r="742" spans="6:31" ht="15.75" customHeight="1" x14ac:dyDescent="0.15">
      <c r="F742" s="18"/>
      <c r="I742" s="18"/>
      <c r="J742" s="18"/>
      <c r="M742" s="18"/>
      <c r="X742" s="18"/>
      <c r="AE742" s="18"/>
    </row>
    <row r="743" spans="6:31" ht="15.75" customHeight="1" x14ac:dyDescent="0.15">
      <c r="F743" s="18"/>
      <c r="I743" s="18"/>
      <c r="J743" s="18"/>
      <c r="M743" s="18"/>
      <c r="X743" s="18"/>
      <c r="AE743" s="18"/>
    </row>
    <row r="744" spans="6:31" ht="15.75" customHeight="1" x14ac:dyDescent="0.15">
      <c r="F744" s="18"/>
      <c r="I744" s="18"/>
      <c r="J744" s="18"/>
      <c r="M744" s="18"/>
      <c r="X744" s="18"/>
      <c r="AE744" s="18"/>
    </row>
    <row r="745" spans="6:31" ht="15.75" customHeight="1" x14ac:dyDescent="0.15">
      <c r="F745" s="18"/>
      <c r="I745" s="18"/>
      <c r="J745" s="18"/>
      <c r="M745" s="18"/>
      <c r="X745" s="18"/>
      <c r="AE745" s="18"/>
    </row>
    <row r="746" spans="6:31" ht="15.75" customHeight="1" x14ac:dyDescent="0.15">
      <c r="F746" s="18"/>
      <c r="I746" s="18"/>
      <c r="J746" s="18"/>
      <c r="M746" s="18"/>
      <c r="X746" s="18"/>
      <c r="AE746" s="18"/>
    </row>
    <row r="747" spans="6:31" ht="15.75" customHeight="1" x14ac:dyDescent="0.15">
      <c r="F747" s="18"/>
      <c r="I747" s="18"/>
      <c r="J747" s="18"/>
      <c r="M747" s="18"/>
      <c r="X747" s="18"/>
      <c r="AE747" s="18"/>
    </row>
    <row r="748" spans="6:31" ht="15.75" customHeight="1" x14ac:dyDescent="0.15">
      <c r="F748" s="18"/>
      <c r="I748" s="18"/>
      <c r="J748" s="18"/>
      <c r="M748" s="18"/>
      <c r="X748" s="18"/>
      <c r="AE748" s="18"/>
    </row>
    <row r="749" spans="6:31" ht="15.75" customHeight="1" x14ac:dyDescent="0.15">
      <c r="F749" s="18"/>
      <c r="I749" s="18"/>
      <c r="J749" s="18"/>
      <c r="M749" s="18"/>
      <c r="X749" s="18"/>
      <c r="AE749" s="18"/>
    </row>
    <row r="750" spans="6:31" ht="15.75" customHeight="1" x14ac:dyDescent="0.15">
      <c r="F750" s="18"/>
      <c r="I750" s="18"/>
      <c r="J750" s="18"/>
      <c r="M750" s="18"/>
      <c r="X750" s="18"/>
      <c r="AE750" s="18"/>
    </row>
    <row r="751" spans="6:31" ht="15.75" customHeight="1" x14ac:dyDescent="0.15">
      <c r="F751" s="18"/>
      <c r="I751" s="18"/>
      <c r="J751" s="18"/>
      <c r="M751" s="18"/>
      <c r="X751" s="18"/>
      <c r="AE751" s="18"/>
    </row>
    <row r="752" spans="6:31" ht="15.75" customHeight="1" x14ac:dyDescent="0.15">
      <c r="F752" s="18"/>
      <c r="I752" s="18"/>
      <c r="J752" s="18"/>
      <c r="M752" s="18"/>
      <c r="X752" s="18"/>
      <c r="AE752" s="18"/>
    </row>
    <row r="753" spans="6:31" ht="15.75" customHeight="1" x14ac:dyDescent="0.15">
      <c r="F753" s="18"/>
      <c r="I753" s="18"/>
      <c r="J753" s="18"/>
      <c r="M753" s="18"/>
      <c r="X753" s="18"/>
      <c r="AE753" s="18"/>
    </row>
    <row r="754" spans="6:31" ht="15.75" customHeight="1" x14ac:dyDescent="0.15">
      <c r="F754" s="18"/>
      <c r="I754" s="18"/>
      <c r="J754" s="18"/>
      <c r="M754" s="18"/>
      <c r="X754" s="18"/>
      <c r="AE754" s="18"/>
    </row>
    <row r="755" spans="6:31" ht="15.75" customHeight="1" x14ac:dyDescent="0.15">
      <c r="F755" s="18"/>
      <c r="I755" s="18"/>
      <c r="J755" s="18"/>
      <c r="M755" s="18"/>
      <c r="X755" s="18"/>
      <c r="AE755" s="18"/>
    </row>
    <row r="756" spans="6:31" ht="15.75" customHeight="1" x14ac:dyDescent="0.15">
      <c r="F756" s="18"/>
      <c r="I756" s="18"/>
      <c r="J756" s="18"/>
      <c r="M756" s="18"/>
      <c r="X756" s="18"/>
      <c r="AE756" s="18"/>
    </row>
    <row r="757" spans="6:31" ht="15.75" customHeight="1" x14ac:dyDescent="0.15">
      <c r="F757" s="18"/>
      <c r="I757" s="18"/>
      <c r="J757" s="18"/>
      <c r="M757" s="18"/>
      <c r="X757" s="18"/>
      <c r="AE757" s="18"/>
    </row>
    <row r="758" spans="6:31" ht="15.75" customHeight="1" x14ac:dyDescent="0.15">
      <c r="F758" s="18"/>
      <c r="I758" s="18"/>
      <c r="J758" s="18"/>
      <c r="M758" s="18"/>
      <c r="X758" s="18"/>
      <c r="AE758" s="18"/>
    </row>
    <row r="759" spans="6:31" ht="15.75" customHeight="1" x14ac:dyDescent="0.15">
      <c r="F759" s="18"/>
      <c r="I759" s="18"/>
      <c r="J759" s="18"/>
      <c r="M759" s="18"/>
      <c r="X759" s="18"/>
      <c r="AE759" s="18"/>
    </row>
    <row r="760" spans="6:31" ht="15.75" customHeight="1" x14ac:dyDescent="0.15">
      <c r="F760" s="18"/>
      <c r="I760" s="18"/>
      <c r="J760" s="18"/>
      <c r="M760" s="18"/>
      <c r="X760" s="18"/>
      <c r="AE760" s="18"/>
    </row>
    <row r="761" spans="6:31" ht="15.75" customHeight="1" x14ac:dyDescent="0.15">
      <c r="F761" s="18"/>
      <c r="I761" s="18"/>
      <c r="J761" s="18"/>
      <c r="M761" s="18"/>
      <c r="X761" s="18"/>
      <c r="AE761" s="18"/>
    </row>
    <row r="762" spans="6:31" ht="15.75" customHeight="1" x14ac:dyDescent="0.15">
      <c r="F762" s="18"/>
      <c r="I762" s="18"/>
      <c r="J762" s="18"/>
      <c r="M762" s="18"/>
      <c r="X762" s="18"/>
      <c r="AE762" s="18"/>
    </row>
    <row r="763" spans="6:31" ht="15.75" customHeight="1" x14ac:dyDescent="0.15">
      <c r="F763" s="18"/>
      <c r="I763" s="18"/>
      <c r="J763" s="18"/>
      <c r="M763" s="18"/>
      <c r="X763" s="18"/>
      <c r="AE763" s="18"/>
    </row>
    <row r="764" spans="6:31" ht="15.75" customHeight="1" x14ac:dyDescent="0.15">
      <c r="F764" s="18"/>
      <c r="I764" s="18"/>
      <c r="J764" s="18"/>
      <c r="M764" s="18"/>
      <c r="X764" s="18"/>
      <c r="AE764" s="18"/>
    </row>
    <row r="765" spans="6:31" ht="15.75" customHeight="1" x14ac:dyDescent="0.15">
      <c r="F765" s="18"/>
      <c r="I765" s="18"/>
      <c r="J765" s="18"/>
      <c r="M765" s="18"/>
      <c r="X765" s="18"/>
      <c r="AE765" s="18"/>
    </row>
    <row r="766" spans="6:31" ht="15.75" customHeight="1" x14ac:dyDescent="0.15">
      <c r="F766" s="18"/>
      <c r="I766" s="18"/>
      <c r="J766" s="18"/>
      <c r="M766" s="18"/>
      <c r="X766" s="18"/>
      <c r="AE766" s="18"/>
    </row>
    <row r="767" spans="6:31" ht="15.75" customHeight="1" x14ac:dyDescent="0.15">
      <c r="F767" s="18"/>
      <c r="I767" s="18"/>
      <c r="J767" s="18"/>
      <c r="M767" s="18"/>
      <c r="X767" s="18"/>
      <c r="AE767" s="18"/>
    </row>
    <row r="768" spans="6:31" ht="15.75" customHeight="1" x14ac:dyDescent="0.15">
      <c r="F768" s="18"/>
      <c r="I768" s="18"/>
      <c r="J768" s="18"/>
      <c r="M768" s="18"/>
      <c r="X768" s="18"/>
      <c r="AE768" s="18"/>
    </row>
    <row r="769" spans="6:31" ht="15.75" customHeight="1" x14ac:dyDescent="0.15">
      <c r="F769" s="18"/>
      <c r="I769" s="18"/>
      <c r="J769" s="18"/>
      <c r="M769" s="18"/>
      <c r="X769" s="18"/>
      <c r="AE769" s="18"/>
    </row>
    <row r="770" spans="6:31" ht="15.75" customHeight="1" x14ac:dyDescent="0.15">
      <c r="F770" s="18"/>
      <c r="I770" s="18"/>
      <c r="J770" s="18"/>
      <c r="M770" s="18"/>
      <c r="X770" s="18"/>
      <c r="AE770" s="18"/>
    </row>
    <row r="771" spans="6:31" ht="15.75" customHeight="1" x14ac:dyDescent="0.15">
      <c r="F771" s="18"/>
      <c r="I771" s="18"/>
      <c r="J771" s="18"/>
      <c r="M771" s="18"/>
      <c r="X771" s="18"/>
      <c r="AE771" s="18"/>
    </row>
    <row r="772" spans="6:31" ht="15.75" customHeight="1" x14ac:dyDescent="0.15">
      <c r="F772" s="18"/>
      <c r="I772" s="18"/>
      <c r="J772" s="18"/>
      <c r="M772" s="18"/>
      <c r="X772" s="18"/>
      <c r="AE772" s="18"/>
    </row>
    <row r="773" spans="6:31" ht="15.75" customHeight="1" x14ac:dyDescent="0.15">
      <c r="F773" s="18"/>
      <c r="I773" s="18"/>
      <c r="J773" s="18"/>
      <c r="M773" s="18"/>
      <c r="X773" s="18"/>
      <c r="AE773" s="18"/>
    </row>
    <row r="774" spans="6:31" ht="15.75" customHeight="1" x14ac:dyDescent="0.15">
      <c r="F774" s="18"/>
      <c r="I774" s="18"/>
      <c r="J774" s="18"/>
      <c r="M774" s="18"/>
      <c r="X774" s="18"/>
      <c r="AE774" s="18"/>
    </row>
    <row r="775" spans="6:31" ht="15.75" customHeight="1" x14ac:dyDescent="0.15">
      <c r="F775" s="18"/>
      <c r="I775" s="18"/>
      <c r="J775" s="18"/>
      <c r="M775" s="18"/>
      <c r="X775" s="18"/>
      <c r="AE775" s="18"/>
    </row>
    <row r="776" spans="6:31" ht="15.75" customHeight="1" x14ac:dyDescent="0.15">
      <c r="F776" s="18"/>
      <c r="I776" s="18"/>
      <c r="J776" s="18"/>
      <c r="M776" s="18"/>
      <c r="X776" s="18"/>
      <c r="AE776" s="18"/>
    </row>
    <row r="777" spans="6:31" ht="15.75" customHeight="1" x14ac:dyDescent="0.15">
      <c r="F777" s="18"/>
      <c r="I777" s="18"/>
      <c r="J777" s="18"/>
      <c r="M777" s="18"/>
      <c r="X777" s="18"/>
      <c r="AE777" s="18"/>
    </row>
    <row r="778" spans="6:31" ht="15.75" customHeight="1" x14ac:dyDescent="0.15">
      <c r="F778" s="18"/>
      <c r="I778" s="18"/>
      <c r="J778" s="18"/>
      <c r="M778" s="18"/>
      <c r="X778" s="18"/>
      <c r="AE778" s="18"/>
    </row>
    <row r="779" spans="6:31" ht="15.75" customHeight="1" x14ac:dyDescent="0.15">
      <c r="F779" s="18"/>
      <c r="I779" s="18"/>
      <c r="J779" s="18"/>
      <c r="M779" s="18"/>
      <c r="X779" s="18"/>
      <c r="AE779" s="18"/>
    </row>
    <row r="780" spans="6:31" ht="15.75" customHeight="1" x14ac:dyDescent="0.15">
      <c r="F780" s="18"/>
      <c r="I780" s="18"/>
      <c r="J780" s="18"/>
      <c r="M780" s="18"/>
      <c r="X780" s="18"/>
      <c r="AE780" s="18"/>
    </row>
    <row r="781" spans="6:31" ht="15.75" customHeight="1" x14ac:dyDescent="0.15">
      <c r="F781" s="18"/>
      <c r="I781" s="18"/>
      <c r="J781" s="18"/>
      <c r="M781" s="18"/>
      <c r="X781" s="18"/>
      <c r="AE781" s="18"/>
    </row>
    <row r="782" spans="6:31" ht="15.75" customHeight="1" x14ac:dyDescent="0.15">
      <c r="F782" s="18"/>
      <c r="I782" s="18"/>
      <c r="J782" s="18"/>
      <c r="M782" s="18"/>
      <c r="X782" s="18"/>
      <c r="AE782" s="18"/>
    </row>
    <row r="783" spans="6:31" ht="15.75" customHeight="1" x14ac:dyDescent="0.15">
      <c r="F783" s="18"/>
      <c r="I783" s="18"/>
      <c r="J783" s="18"/>
      <c r="M783" s="18"/>
      <c r="X783" s="18"/>
      <c r="AE783" s="18"/>
    </row>
    <row r="784" spans="6:31" ht="15.75" customHeight="1" x14ac:dyDescent="0.15">
      <c r="F784" s="18"/>
      <c r="I784" s="18"/>
      <c r="J784" s="18"/>
      <c r="M784" s="18"/>
      <c r="X784" s="18"/>
      <c r="AE784" s="18"/>
    </row>
    <row r="785" spans="6:31" ht="15.75" customHeight="1" x14ac:dyDescent="0.15">
      <c r="F785" s="18"/>
      <c r="I785" s="18"/>
      <c r="J785" s="18"/>
      <c r="M785" s="18"/>
      <c r="X785" s="18"/>
      <c r="AE785" s="18"/>
    </row>
    <row r="786" spans="6:31" ht="15.75" customHeight="1" x14ac:dyDescent="0.15">
      <c r="F786" s="18"/>
      <c r="I786" s="18"/>
      <c r="J786" s="18"/>
      <c r="M786" s="18"/>
      <c r="X786" s="18"/>
      <c r="AE786" s="18"/>
    </row>
    <row r="787" spans="6:31" ht="15.75" customHeight="1" x14ac:dyDescent="0.15">
      <c r="F787" s="18"/>
      <c r="I787" s="18"/>
      <c r="J787" s="18"/>
      <c r="M787" s="18"/>
      <c r="X787" s="18"/>
      <c r="AE787" s="18"/>
    </row>
    <row r="788" spans="6:31" ht="15.75" customHeight="1" x14ac:dyDescent="0.15">
      <c r="F788" s="18"/>
      <c r="I788" s="18"/>
      <c r="J788" s="18"/>
      <c r="M788" s="18"/>
      <c r="X788" s="18"/>
      <c r="AE788" s="18"/>
    </row>
    <row r="789" spans="6:31" ht="15.75" customHeight="1" x14ac:dyDescent="0.15">
      <c r="F789" s="18"/>
      <c r="I789" s="18"/>
      <c r="J789" s="18"/>
      <c r="M789" s="18"/>
      <c r="X789" s="18"/>
      <c r="AE789" s="18"/>
    </row>
    <row r="790" spans="6:31" ht="15.75" customHeight="1" x14ac:dyDescent="0.15">
      <c r="F790" s="18"/>
      <c r="I790" s="18"/>
      <c r="J790" s="18"/>
      <c r="M790" s="18"/>
      <c r="X790" s="18"/>
      <c r="AE790" s="18"/>
    </row>
    <row r="791" spans="6:31" ht="15.75" customHeight="1" x14ac:dyDescent="0.15">
      <c r="F791" s="18"/>
      <c r="I791" s="18"/>
      <c r="J791" s="18"/>
      <c r="M791" s="18"/>
      <c r="X791" s="18"/>
      <c r="AE791" s="18"/>
    </row>
    <row r="792" spans="6:31" ht="15.75" customHeight="1" x14ac:dyDescent="0.15">
      <c r="F792" s="18"/>
      <c r="I792" s="18"/>
      <c r="J792" s="18"/>
      <c r="M792" s="18"/>
      <c r="X792" s="18"/>
      <c r="AE792" s="18"/>
    </row>
    <row r="793" spans="6:31" ht="15.75" customHeight="1" x14ac:dyDescent="0.15">
      <c r="F793" s="18"/>
      <c r="I793" s="18"/>
      <c r="J793" s="18"/>
      <c r="M793" s="18"/>
      <c r="X793" s="18"/>
      <c r="AE793" s="18"/>
    </row>
    <row r="794" spans="6:31" ht="15.75" customHeight="1" x14ac:dyDescent="0.15">
      <c r="F794" s="18"/>
      <c r="I794" s="18"/>
      <c r="J794" s="18"/>
      <c r="M794" s="18"/>
      <c r="X794" s="18"/>
      <c r="AE794" s="18"/>
    </row>
    <row r="795" spans="6:31" ht="15.75" customHeight="1" x14ac:dyDescent="0.15">
      <c r="F795" s="18"/>
      <c r="I795" s="18"/>
      <c r="J795" s="18"/>
      <c r="M795" s="18"/>
      <c r="X795" s="18"/>
      <c r="AE795" s="18"/>
    </row>
    <row r="796" spans="6:31" ht="15.75" customHeight="1" x14ac:dyDescent="0.15">
      <c r="F796" s="18"/>
      <c r="I796" s="18"/>
      <c r="J796" s="18"/>
      <c r="M796" s="18"/>
      <c r="X796" s="18"/>
      <c r="AE796" s="18"/>
    </row>
    <row r="797" spans="6:31" ht="15.75" customHeight="1" x14ac:dyDescent="0.15">
      <c r="F797" s="18"/>
      <c r="I797" s="18"/>
      <c r="J797" s="18"/>
      <c r="M797" s="18"/>
      <c r="X797" s="18"/>
      <c r="AE797" s="18"/>
    </row>
    <row r="798" spans="6:31" ht="15.75" customHeight="1" x14ac:dyDescent="0.15">
      <c r="F798" s="18"/>
      <c r="I798" s="18"/>
      <c r="J798" s="18"/>
      <c r="M798" s="18"/>
      <c r="X798" s="18"/>
      <c r="AE798" s="18"/>
    </row>
    <row r="799" spans="6:31" ht="15.75" customHeight="1" x14ac:dyDescent="0.15">
      <c r="F799" s="18"/>
      <c r="I799" s="18"/>
      <c r="J799" s="18"/>
      <c r="M799" s="18"/>
      <c r="X799" s="18"/>
      <c r="AE799" s="18"/>
    </row>
    <row r="800" spans="6:31" ht="15.75" customHeight="1" x14ac:dyDescent="0.15">
      <c r="F800" s="18"/>
      <c r="I800" s="18"/>
      <c r="J800" s="18"/>
      <c r="M800" s="18"/>
      <c r="X800" s="18"/>
      <c r="AE800" s="18"/>
    </row>
    <row r="801" spans="6:31" ht="15.75" customHeight="1" x14ac:dyDescent="0.15">
      <c r="F801" s="18"/>
      <c r="I801" s="18"/>
      <c r="J801" s="18"/>
      <c r="M801" s="18"/>
      <c r="X801" s="18"/>
      <c r="AE801" s="18"/>
    </row>
    <row r="802" spans="6:31" ht="15.75" customHeight="1" x14ac:dyDescent="0.15">
      <c r="F802" s="18"/>
      <c r="I802" s="18"/>
      <c r="J802" s="18"/>
      <c r="M802" s="18"/>
      <c r="X802" s="18"/>
      <c r="AE802" s="18"/>
    </row>
    <row r="803" spans="6:31" ht="15.75" customHeight="1" x14ac:dyDescent="0.15">
      <c r="F803" s="18"/>
      <c r="I803" s="18"/>
      <c r="J803" s="18"/>
      <c r="M803" s="18"/>
      <c r="X803" s="18"/>
      <c r="AE803" s="18"/>
    </row>
    <row r="804" spans="6:31" ht="15.75" customHeight="1" x14ac:dyDescent="0.15">
      <c r="F804" s="18"/>
      <c r="I804" s="18"/>
      <c r="J804" s="18"/>
      <c r="M804" s="18"/>
      <c r="X804" s="18"/>
      <c r="AE804" s="18"/>
    </row>
    <row r="805" spans="6:31" ht="15.75" customHeight="1" x14ac:dyDescent="0.15">
      <c r="F805" s="18"/>
      <c r="I805" s="18"/>
      <c r="J805" s="18"/>
      <c r="M805" s="18"/>
      <c r="X805" s="18"/>
      <c r="AE805" s="18"/>
    </row>
    <row r="806" spans="6:31" ht="15.75" customHeight="1" x14ac:dyDescent="0.15">
      <c r="F806" s="18"/>
      <c r="I806" s="18"/>
      <c r="J806" s="18"/>
      <c r="M806" s="18"/>
      <c r="X806" s="18"/>
      <c r="AE806" s="18"/>
    </row>
    <row r="807" spans="6:31" ht="15.75" customHeight="1" x14ac:dyDescent="0.15">
      <c r="F807" s="18"/>
      <c r="I807" s="18"/>
      <c r="J807" s="18"/>
      <c r="M807" s="18"/>
      <c r="X807" s="18"/>
      <c r="AE807" s="18"/>
    </row>
    <row r="808" spans="6:31" ht="15.75" customHeight="1" x14ac:dyDescent="0.15">
      <c r="F808" s="18"/>
      <c r="I808" s="18"/>
      <c r="J808" s="18"/>
      <c r="M808" s="18"/>
      <c r="X808" s="18"/>
      <c r="AE808" s="18"/>
    </row>
    <row r="809" spans="6:31" ht="15.75" customHeight="1" x14ac:dyDescent="0.15">
      <c r="F809" s="18"/>
      <c r="I809" s="18"/>
      <c r="J809" s="18"/>
      <c r="M809" s="18"/>
      <c r="X809" s="18"/>
      <c r="AE809" s="18"/>
    </row>
    <row r="810" spans="6:31" ht="15.75" customHeight="1" x14ac:dyDescent="0.15">
      <c r="F810" s="18"/>
      <c r="I810" s="18"/>
      <c r="J810" s="18"/>
      <c r="M810" s="18"/>
      <c r="X810" s="18"/>
      <c r="AE810" s="18"/>
    </row>
    <row r="811" spans="6:31" ht="15.75" customHeight="1" x14ac:dyDescent="0.15">
      <c r="F811" s="18"/>
      <c r="I811" s="18"/>
      <c r="J811" s="18"/>
      <c r="M811" s="18"/>
      <c r="X811" s="18"/>
      <c r="AE811" s="18"/>
    </row>
    <row r="812" spans="6:31" ht="15.75" customHeight="1" x14ac:dyDescent="0.15">
      <c r="F812" s="18"/>
      <c r="I812" s="18"/>
      <c r="J812" s="18"/>
      <c r="M812" s="18"/>
      <c r="X812" s="18"/>
      <c r="AE812" s="18"/>
    </row>
    <row r="813" spans="6:31" ht="15.75" customHeight="1" x14ac:dyDescent="0.15">
      <c r="F813" s="18"/>
      <c r="I813" s="18"/>
      <c r="J813" s="18"/>
      <c r="M813" s="18"/>
      <c r="X813" s="18"/>
      <c r="AE813" s="18"/>
    </row>
    <row r="814" spans="6:31" ht="15.75" customHeight="1" x14ac:dyDescent="0.15">
      <c r="F814" s="18"/>
      <c r="I814" s="18"/>
      <c r="J814" s="18"/>
      <c r="M814" s="18"/>
      <c r="X814" s="18"/>
      <c r="AE814" s="18"/>
    </row>
    <row r="815" spans="6:31" ht="15.75" customHeight="1" x14ac:dyDescent="0.15">
      <c r="F815" s="18"/>
      <c r="I815" s="18"/>
      <c r="J815" s="18"/>
      <c r="M815" s="18"/>
      <c r="X815" s="18"/>
      <c r="AE815" s="18"/>
    </row>
    <row r="816" spans="6:31" ht="15.75" customHeight="1" x14ac:dyDescent="0.15">
      <c r="F816" s="18"/>
      <c r="I816" s="18"/>
      <c r="J816" s="18"/>
      <c r="M816" s="18"/>
      <c r="X816" s="18"/>
      <c r="AE816" s="18"/>
    </row>
    <row r="817" spans="6:31" ht="15.75" customHeight="1" x14ac:dyDescent="0.15">
      <c r="F817" s="18"/>
      <c r="I817" s="18"/>
      <c r="J817" s="18"/>
      <c r="M817" s="18"/>
      <c r="X817" s="18"/>
      <c r="AE817" s="18"/>
    </row>
    <row r="818" spans="6:31" ht="15.75" customHeight="1" x14ac:dyDescent="0.15">
      <c r="F818" s="18"/>
      <c r="I818" s="18"/>
      <c r="J818" s="18"/>
      <c r="M818" s="18"/>
      <c r="X818" s="18"/>
      <c r="AE818" s="18"/>
    </row>
    <row r="819" spans="6:31" ht="15.75" customHeight="1" x14ac:dyDescent="0.15">
      <c r="F819" s="18"/>
      <c r="I819" s="18"/>
      <c r="J819" s="18"/>
      <c r="M819" s="18"/>
      <c r="X819" s="18"/>
      <c r="AE819" s="18"/>
    </row>
    <row r="820" spans="6:31" ht="15.75" customHeight="1" x14ac:dyDescent="0.15">
      <c r="F820" s="18"/>
      <c r="I820" s="18"/>
      <c r="J820" s="18"/>
      <c r="M820" s="18"/>
      <c r="X820" s="18"/>
      <c r="AE820" s="18"/>
    </row>
    <row r="821" spans="6:31" ht="15.75" customHeight="1" x14ac:dyDescent="0.15">
      <c r="F821" s="18"/>
      <c r="I821" s="18"/>
      <c r="J821" s="18"/>
      <c r="M821" s="18"/>
      <c r="X821" s="18"/>
      <c r="AE821" s="18"/>
    </row>
    <row r="822" spans="6:31" ht="15.75" customHeight="1" x14ac:dyDescent="0.15">
      <c r="F822" s="18"/>
      <c r="I822" s="18"/>
      <c r="J822" s="18"/>
      <c r="M822" s="18"/>
      <c r="X822" s="18"/>
      <c r="AE822" s="18"/>
    </row>
    <row r="823" spans="6:31" ht="15.75" customHeight="1" x14ac:dyDescent="0.15">
      <c r="F823" s="18"/>
      <c r="I823" s="18"/>
      <c r="J823" s="18"/>
      <c r="M823" s="18"/>
      <c r="X823" s="18"/>
      <c r="AE823" s="18"/>
    </row>
    <row r="824" spans="6:31" ht="15.75" customHeight="1" x14ac:dyDescent="0.15">
      <c r="F824" s="18"/>
      <c r="I824" s="18"/>
      <c r="J824" s="18"/>
      <c r="M824" s="18"/>
      <c r="X824" s="18"/>
      <c r="AE824" s="18"/>
    </row>
    <row r="825" spans="6:31" ht="15.75" customHeight="1" x14ac:dyDescent="0.15">
      <c r="F825" s="18"/>
      <c r="I825" s="18"/>
      <c r="J825" s="18"/>
      <c r="M825" s="18"/>
      <c r="X825" s="18"/>
      <c r="AE825" s="18"/>
    </row>
    <row r="826" spans="6:31" ht="15.75" customHeight="1" x14ac:dyDescent="0.15">
      <c r="F826" s="18"/>
      <c r="I826" s="18"/>
      <c r="J826" s="18"/>
      <c r="M826" s="18"/>
      <c r="X826" s="18"/>
      <c r="AE826" s="18"/>
    </row>
    <row r="827" spans="6:31" ht="15.75" customHeight="1" x14ac:dyDescent="0.15">
      <c r="F827" s="18"/>
      <c r="I827" s="18"/>
      <c r="J827" s="18"/>
      <c r="M827" s="18"/>
      <c r="X827" s="18"/>
      <c r="AE827" s="18"/>
    </row>
    <row r="828" spans="6:31" ht="15.75" customHeight="1" x14ac:dyDescent="0.15">
      <c r="F828" s="18"/>
      <c r="I828" s="18"/>
      <c r="J828" s="18"/>
      <c r="M828" s="18"/>
      <c r="X828" s="18"/>
      <c r="AE828" s="18"/>
    </row>
    <row r="829" spans="6:31" ht="15.75" customHeight="1" x14ac:dyDescent="0.15">
      <c r="F829" s="18"/>
      <c r="I829" s="18"/>
      <c r="J829" s="18"/>
      <c r="M829" s="18"/>
      <c r="X829" s="18"/>
      <c r="AE829" s="18"/>
    </row>
    <row r="830" spans="6:31" ht="15.75" customHeight="1" x14ac:dyDescent="0.15">
      <c r="F830" s="18"/>
      <c r="I830" s="18"/>
      <c r="J830" s="18"/>
      <c r="M830" s="18"/>
      <c r="X830" s="18"/>
      <c r="AE830" s="18"/>
    </row>
    <row r="831" spans="6:31" ht="15.75" customHeight="1" x14ac:dyDescent="0.15">
      <c r="F831" s="18"/>
      <c r="I831" s="18"/>
      <c r="J831" s="18"/>
      <c r="M831" s="18"/>
      <c r="X831" s="18"/>
      <c r="AE831" s="18"/>
    </row>
    <row r="832" spans="6:31" ht="15.75" customHeight="1" x14ac:dyDescent="0.15">
      <c r="F832" s="18"/>
      <c r="I832" s="18"/>
      <c r="J832" s="18"/>
      <c r="M832" s="18"/>
      <c r="X832" s="18"/>
      <c r="AE832" s="18"/>
    </row>
    <row r="833" spans="6:31" ht="15.75" customHeight="1" x14ac:dyDescent="0.15">
      <c r="F833" s="18"/>
      <c r="I833" s="18"/>
      <c r="J833" s="18"/>
      <c r="M833" s="18"/>
      <c r="X833" s="18"/>
      <c r="AE833" s="18"/>
    </row>
    <row r="834" spans="6:31" ht="15.75" customHeight="1" x14ac:dyDescent="0.15">
      <c r="F834" s="18"/>
      <c r="I834" s="18"/>
      <c r="J834" s="18"/>
      <c r="M834" s="18"/>
      <c r="X834" s="18"/>
      <c r="AE834" s="18"/>
    </row>
    <row r="835" spans="6:31" ht="15.75" customHeight="1" x14ac:dyDescent="0.15">
      <c r="F835" s="18"/>
      <c r="I835" s="18"/>
      <c r="J835" s="18"/>
      <c r="M835" s="18"/>
      <c r="X835" s="18"/>
      <c r="AE835" s="18"/>
    </row>
    <row r="836" spans="6:31" ht="15.75" customHeight="1" x14ac:dyDescent="0.15">
      <c r="F836" s="18"/>
      <c r="I836" s="18"/>
      <c r="J836" s="18"/>
      <c r="M836" s="18"/>
      <c r="X836" s="18"/>
      <c r="AE836" s="18"/>
    </row>
    <row r="837" spans="6:31" ht="15.75" customHeight="1" x14ac:dyDescent="0.15">
      <c r="F837" s="18"/>
      <c r="I837" s="18"/>
      <c r="J837" s="18"/>
      <c r="M837" s="18"/>
      <c r="X837" s="18"/>
      <c r="AE837" s="18"/>
    </row>
    <row r="838" spans="6:31" ht="15.75" customHeight="1" x14ac:dyDescent="0.15">
      <c r="F838" s="18"/>
      <c r="I838" s="18"/>
      <c r="J838" s="18"/>
      <c r="M838" s="18"/>
      <c r="X838" s="18"/>
      <c r="AE838" s="18"/>
    </row>
    <row r="839" spans="6:31" ht="15.75" customHeight="1" x14ac:dyDescent="0.15">
      <c r="F839" s="18"/>
      <c r="I839" s="18"/>
      <c r="J839" s="18"/>
      <c r="M839" s="18"/>
      <c r="X839" s="18"/>
      <c r="AE839" s="18"/>
    </row>
    <row r="840" spans="6:31" ht="15.75" customHeight="1" x14ac:dyDescent="0.15">
      <c r="F840" s="18"/>
      <c r="I840" s="18"/>
      <c r="J840" s="18"/>
      <c r="M840" s="18"/>
      <c r="X840" s="18"/>
      <c r="AE840" s="18"/>
    </row>
    <row r="841" spans="6:31" ht="15.75" customHeight="1" x14ac:dyDescent="0.15">
      <c r="F841" s="18"/>
      <c r="I841" s="18"/>
      <c r="J841" s="18"/>
      <c r="M841" s="18"/>
      <c r="X841" s="18"/>
      <c r="AE841" s="18"/>
    </row>
    <row r="842" spans="6:31" ht="15.75" customHeight="1" x14ac:dyDescent="0.15">
      <c r="F842" s="18"/>
      <c r="I842" s="18"/>
      <c r="J842" s="18"/>
      <c r="M842" s="18"/>
      <c r="X842" s="18"/>
      <c r="AE842" s="18"/>
    </row>
    <row r="843" spans="6:31" ht="15.75" customHeight="1" x14ac:dyDescent="0.15">
      <c r="F843" s="18"/>
      <c r="I843" s="18"/>
      <c r="J843" s="18"/>
      <c r="M843" s="18"/>
      <c r="X843" s="18"/>
      <c r="AE843" s="18"/>
    </row>
    <row r="844" spans="6:31" ht="15.75" customHeight="1" x14ac:dyDescent="0.15">
      <c r="F844" s="18"/>
      <c r="I844" s="18"/>
      <c r="J844" s="18"/>
      <c r="M844" s="18"/>
      <c r="X844" s="18"/>
      <c r="AE844" s="18"/>
    </row>
    <row r="845" spans="6:31" ht="15.75" customHeight="1" x14ac:dyDescent="0.15">
      <c r="F845" s="18"/>
      <c r="I845" s="18"/>
      <c r="J845" s="18"/>
      <c r="M845" s="18"/>
      <c r="X845" s="18"/>
      <c r="AE845" s="18"/>
    </row>
    <row r="846" spans="6:31" ht="15.75" customHeight="1" x14ac:dyDescent="0.15">
      <c r="F846" s="18"/>
      <c r="I846" s="18"/>
      <c r="J846" s="18"/>
      <c r="M846" s="18"/>
      <c r="X846" s="18"/>
      <c r="AE846" s="18"/>
    </row>
    <row r="847" spans="6:31" ht="15.75" customHeight="1" x14ac:dyDescent="0.15">
      <c r="F847" s="18"/>
      <c r="I847" s="18"/>
      <c r="J847" s="18"/>
      <c r="M847" s="18"/>
      <c r="X847" s="18"/>
      <c r="AE847" s="18"/>
    </row>
    <row r="848" spans="6:31" ht="15.75" customHeight="1" x14ac:dyDescent="0.15">
      <c r="F848" s="18"/>
      <c r="I848" s="18"/>
      <c r="J848" s="18"/>
      <c r="M848" s="18"/>
      <c r="X848" s="18"/>
      <c r="AE848" s="18"/>
    </row>
    <row r="849" spans="6:31" ht="15.75" customHeight="1" x14ac:dyDescent="0.15">
      <c r="F849" s="18"/>
      <c r="I849" s="18"/>
      <c r="J849" s="18"/>
      <c r="M849" s="18"/>
      <c r="X849" s="18"/>
      <c r="AE849" s="18"/>
    </row>
    <row r="850" spans="6:31" ht="15.75" customHeight="1" x14ac:dyDescent="0.15">
      <c r="F850" s="18"/>
      <c r="I850" s="18"/>
      <c r="J850" s="18"/>
      <c r="M850" s="18"/>
      <c r="X850" s="18"/>
      <c r="AE850" s="18"/>
    </row>
    <row r="851" spans="6:31" ht="15.75" customHeight="1" x14ac:dyDescent="0.15">
      <c r="F851" s="18"/>
      <c r="I851" s="18"/>
      <c r="J851" s="18"/>
      <c r="M851" s="18"/>
      <c r="X851" s="18"/>
      <c r="AE851" s="18"/>
    </row>
    <row r="852" spans="6:31" ht="15.75" customHeight="1" x14ac:dyDescent="0.15">
      <c r="F852" s="18"/>
      <c r="I852" s="18"/>
      <c r="J852" s="18"/>
      <c r="M852" s="18"/>
      <c r="X852" s="18"/>
      <c r="AE852" s="18"/>
    </row>
    <row r="853" spans="6:31" ht="15.75" customHeight="1" x14ac:dyDescent="0.15">
      <c r="F853" s="18"/>
      <c r="I853" s="18"/>
      <c r="J853" s="18"/>
      <c r="M853" s="18"/>
      <c r="X853" s="18"/>
      <c r="AE853" s="18"/>
    </row>
    <row r="854" spans="6:31" ht="15.75" customHeight="1" x14ac:dyDescent="0.15">
      <c r="F854" s="18"/>
      <c r="I854" s="18"/>
      <c r="J854" s="18"/>
      <c r="M854" s="18"/>
      <c r="X854" s="18"/>
      <c r="AE854" s="18"/>
    </row>
    <row r="855" spans="6:31" ht="15.75" customHeight="1" x14ac:dyDescent="0.15">
      <c r="F855" s="18"/>
      <c r="I855" s="18"/>
      <c r="J855" s="18"/>
      <c r="M855" s="18"/>
      <c r="X855" s="18"/>
      <c r="AE855" s="18"/>
    </row>
    <row r="856" spans="6:31" ht="15.75" customHeight="1" x14ac:dyDescent="0.15">
      <c r="F856" s="18"/>
      <c r="I856" s="18"/>
      <c r="J856" s="18"/>
      <c r="M856" s="18"/>
      <c r="X856" s="18"/>
      <c r="AE856" s="18"/>
    </row>
    <row r="857" spans="6:31" ht="15.75" customHeight="1" x14ac:dyDescent="0.15">
      <c r="F857" s="18"/>
      <c r="I857" s="18"/>
      <c r="J857" s="18"/>
      <c r="M857" s="18"/>
      <c r="X857" s="18"/>
      <c r="AE857" s="18"/>
    </row>
    <row r="858" spans="6:31" ht="15.75" customHeight="1" x14ac:dyDescent="0.15">
      <c r="F858" s="18"/>
      <c r="I858" s="18"/>
      <c r="J858" s="18"/>
      <c r="M858" s="18"/>
      <c r="X858" s="18"/>
      <c r="AE858" s="18"/>
    </row>
    <row r="859" spans="6:31" ht="15.75" customHeight="1" x14ac:dyDescent="0.15">
      <c r="F859" s="18"/>
      <c r="I859" s="18"/>
      <c r="J859" s="18"/>
      <c r="M859" s="18"/>
      <c r="X859" s="18"/>
      <c r="AE859" s="18"/>
    </row>
    <row r="860" spans="6:31" ht="15.75" customHeight="1" x14ac:dyDescent="0.15">
      <c r="F860" s="18"/>
      <c r="I860" s="18"/>
      <c r="J860" s="18"/>
      <c r="M860" s="18"/>
      <c r="X860" s="18"/>
      <c r="AE860" s="18"/>
    </row>
    <row r="861" spans="6:31" ht="15.75" customHeight="1" x14ac:dyDescent="0.15">
      <c r="F861" s="18"/>
      <c r="I861" s="18"/>
      <c r="J861" s="18"/>
      <c r="M861" s="18"/>
      <c r="X861" s="18"/>
      <c r="AE861" s="18"/>
    </row>
    <row r="862" spans="6:31" ht="15.75" customHeight="1" x14ac:dyDescent="0.15">
      <c r="F862" s="18"/>
      <c r="I862" s="18"/>
      <c r="J862" s="18"/>
      <c r="M862" s="18"/>
      <c r="X862" s="18"/>
      <c r="AE862" s="18"/>
    </row>
    <row r="863" spans="6:31" ht="15.75" customHeight="1" x14ac:dyDescent="0.15">
      <c r="F863" s="18"/>
      <c r="I863" s="18"/>
      <c r="J863" s="18"/>
      <c r="M863" s="18"/>
      <c r="X863" s="18"/>
      <c r="AE863" s="18"/>
    </row>
    <row r="864" spans="6:31" ht="15.75" customHeight="1" x14ac:dyDescent="0.15">
      <c r="F864" s="18"/>
      <c r="I864" s="18"/>
      <c r="J864" s="18"/>
      <c r="M864" s="18"/>
      <c r="X864" s="18"/>
      <c r="AE864" s="18"/>
    </row>
    <row r="865" spans="6:31" ht="15.75" customHeight="1" x14ac:dyDescent="0.15">
      <c r="F865" s="18"/>
      <c r="I865" s="18"/>
      <c r="J865" s="18"/>
      <c r="M865" s="18"/>
      <c r="X865" s="18"/>
      <c r="AE865" s="18"/>
    </row>
    <row r="866" spans="6:31" ht="15.75" customHeight="1" x14ac:dyDescent="0.15">
      <c r="F866" s="18"/>
      <c r="I866" s="18"/>
      <c r="J866" s="18"/>
      <c r="M866" s="18"/>
      <c r="X866" s="18"/>
      <c r="AE866" s="18"/>
    </row>
    <row r="867" spans="6:31" ht="15.75" customHeight="1" x14ac:dyDescent="0.15">
      <c r="F867" s="18"/>
      <c r="I867" s="18"/>
      <c r="J867" s="18"/>
      <c r="M867" s="18"/>
      <c r="X867" s="18"/>
      <c r="AE867" s="18"/>
    </row>
    <row r="868" spans="6:31" ht="15.75" customHeight="1" x14ac:dyDescent="0.15">
      <c r="F868" s="18"/>
      <c r="I868" s="18"/>
      <c r="J868" s="18"/>
      <c r="M868" s="18"/>
      <c r="X868" s="18"/>
      <c r="AE868" s="18"/>
    </row>
    <row r="869" spans="6:31" ht="15.75" customHeight="1" x14ac:dyDescent="0.15">
      <c r="F869" s="18"/>
      <c r="I869" s="18"/>
      <c r="J869" s="18"/>
      <c r="M869" s="18"/>
      <c r="X869" s="18"/>
      <c r="AE869" s="18"/>
    </row>
    <row r="870" spans="6:31" ht="15.75" customHeight="1" x14ac:dyDescent="0.15">
      <c r="F870" s="18"/>
      <c r="I870" s="18"/>
      <c r="J870" s="18"/>
      <c r="M870" s="18"/>
      <c r="X870" s="18"/>
      <c r="AE870" s="18"/>
    </row>
    <row r="871" spans="6:31" ht="15.75" customHeight="1" x14ac:dyDescent="0.15">
      <c r="F871" s="18"/>
      <c r="I871" s="18"/>
      <c r="J871" s="18"/>
      <c r="M871" s="18"/>
      <c r="X871" s="18"/>
      <c r="AE871" s="18"/>
    </row>
    <row r="872" spans="6:31" ht="15.75" customHeight="1" x14ac:dyDescent="0.15">
      <c r="F872" s="18"/>
      <c r="I872" s="18"/>
      <c r="J872" s="18"/>
      <c r="M872" s="18"/>
      <c r="X872" s="18"/>
      <c r="AE872" s="18"/>
    </row>
    <row r="873" spans="6:31" ht="15.75" customHeight="1" x14ac:dyDescent="0.15">
      <c r="F873" s="18"/>
      <c r="I873" s="18"/>
      <c r="J873" s="18"/>
      <c r="M873" s="18"/>
      <c r="X873" s="18"/>
      <c r="AE873" s="18"/>
    </row>
    <row r="874" spans="6:31" ht="15.75" customHeight="1" x14ac:dyDescent="0.15">
      <c r="F874" s="18"/>
      <c r="I874" s="18"/>
      <c r="J874" s="18"/>
      <c r="M874" s="18"/>
      <c r="X874" s="18"/>
      <c r="AE874" s="18"/>
    </row>
    <row r="875" spans="6:31" ht="15.75" customHeight="1" x14ac:dyDescent="0.15">
      <c r="F875" s="18"/>
      <c r="I875" s="18"/>
      <c r="J875" s="18"/>
      <c r="M875" s="18"/>
      <c r="X875" s="18"/>
      <c r="AE875" s="18"/>
    </row>
    <row r="876" spans="6:31" ht="15.75" customHeight="1" x14ac:dyDescent="0.15">
      <c r="F876" s="18"/>
      <c r="I876" s="18"/>
      <c r="J876" s="18"/>
      <c r="M876" s="18"/>
      <c r="X876" s="18"/>
      <c r="AE876" s="18"/>
    </row>
    <row r="877" spans="6:31" ht="15.75" customHeight="1" x14ac:dyDescent="0.15">
      <c r="F877" s="18"/>
      <c r="I877" s="18"/>
      <c r="J877" s="18"/>
      <c r="M877" s="18"/>
      <c r="X877" s="18"/>
      <c r="AE877" s="18"/>
    </row>
    <row r="878" spans="6:31" ht="15.75" customHeight="1" x14ac:dyDescent="0.15">
      <c r="F878" s="18"/>
      <c r="I878" s="18"/>
      <c r="J878" s="18"/>
      <c r="M878" s="18"/>
      <c r="X878" s="18"/>
      <c r="AE878" s="18"/>
    </row>
    <row r="879" spans="6:31" ht="15.75" customHeight="1" x14ac:dyDescent="0.15">
      <c r="F879" s="18"/>
      <c r="I879" s="18"/>
      <c r="J879" s="18"/>
      <c r="M879" s="18"/>
      <c r="X879" s="18"/>
      <c r="AE879" s="18"/>
    </row>
    <row r="880" spans="6:31" ht="15.75" customHeight="1" x14ac:dyDescent="0.15">
      <c r="F880" s="18"/>
      <c r="I880" s="18"/>
      <c r="J880" s="18"/>
      <c r="M880" s="18"/>
      <c r="X880" s="18"/>
      <c r="AE880" s="18"/>
    </row>
    <row r="881" spans="6:31" ht="15.75" customHeight="1" x14ac:dyDescent="0.15">
      <c r="F881" s="18"/>
      <c r="I881" s="18"/>
      <c r="J881" s="18"/>
      <c r="M881" s="18"/>
      <c r="X881" s="18"/>
      <c r="AE881" s="18"/>
    </row>
    <row r="882" spans="6:31" ht="15.75" customHeight="1" x14ac:dyDescent="0.15">
      <c r="F882" s="18"/>
      <c r="I882" s="18"/>
      <c r="J882" s="18"/>
      <c r="M882" s="18"/>
      <c r="X882" s="18"/>
      <c r="AE882" s="18"/>
    </row>
    <row r="883" spans="6:31" ht="15.75" customHeight="1" x14ac:dyDescent="0.15">
      <c r="F883" s="18"/>
      <c r="I883" s="18"/>
      <c r="J883" s="18"/>
      <c r="M883" s="18"/>
      <c r="X883" s="18"/>
      <c r="AE883" s="18"/>
    </row>
    <row r="884" spans="6:31" ht="15.75" customHeight="1" x14ac:dyDescent="0.15">
      <c r="F884" s="18"/>
      <c r="I884" s="18"/>
      <c r="J884" s="18"/>
      <c r="M884" s="18"/>
      <c r="X884" s="18"/>
      <c r="AE884" s="18"/>
    </row>
    <row r="885" spans="6:31" ht="15.75" customHeight="1" x14ac:dyDescent="0.15">
      <c r="F885" s="18"/>
      <c r="I885" s="18"/>
      <c r="J885" s="18"/>
      <c r="M885" s="18"/>
      <c r="X885" s="18"/>
      <c r="AE885" s="18"/>
    </row>
    <row r="886" spans="6:31" ht="15.75" customHeight="1" x14ac:dyDescent="0.15">
      <c r="F886" s="18"/>
      <c r="I886" s="18"/>
      <c r="J886" s="18"/>
      <c r="M886" s="18"/>
      <c r="X886" s="18"/>
      <c r="AE886" s="18"/>
    </row>
    <row r="887" spans="6:31" ht="15.75" customHeight="1" x14ac:dyDescent="0.15">
      <c r="F887" s="18"/>
      <c r="I887" s="18"/>
      <c r="J887" s="18"/>
      <c r="M887" s="18"/>
      <c r="X887" s="18"/>
      <c r="AE887" s="18"/>
    </row>
    <row r="888" spans="6:31" ht="15.75" customHeight="1" x14ac:dyDescent="0.15">
      <c r="F888" s="18"/>
      <c r="I888" s="18"/>
      <c r="J888" s="18"/>
      <c r="M888" s="18"/>
      <c r="X888" s="18"/>
      <c r="AE888" s="18"/>
    </row>
    <row r="889" spans="6:31" ht="15.75" customHeight="1" x14ac:dyDescent="0.15">
      <c r="F889" s="18"/>
      <c r="I889" s="18"/>
      <c r="J889" s="18"/>
      <c r="M889" s="18"/>
      <c r="X889" s="18"/>
      <c r="AE889" s="18"/>
    </row>
    <row r="890" spans="6:31" ht="15.75" customHeight="1" x14ac:dyDescent="0.15">
      <c r="F890" s="18"/>
      <c r="I890" s="18"/>
      <c r="J890" s="18"/>
      <c r="M890" s="18"/>
      <c r="X890" s="18"/>
      <c r="AE890" s="18"/>
    </row>
    <row r="891" spans="6:31" ht="15.75" customHeight="1" x14ac:dyDescent="0.15">
      <c r="F891" s="18"/>
      <c r="I891" s="18"/>
      <c r="J891" s="18"/>
      <c r="M891" s="18"/>
      <c r="X891" s="18"/>
      <c r="AE891" s="18"/>
    </row>
    <row r="892" spans="6:31" ht="15.75" customHeight="1" x14ac:dyDescent="0.15">
      <c r="F892" s="18"/>
      <c r="I892" s="18"/>
      <c r="J892" s="18"/>
      <c r="M892" s="18"/>
      <c r="X892" s="18"/>
      <c r="AE892" s="18"/>
    </row>
    <row r="893" spans="6:31" ht="15.75" customHeight="1" x14ac:dyDescent="0.15">
      <c r="F893" s="18"/>
      <c r="I893" s="18"/>
      <c r="J893" s="18"/>
      <c r="M893" s="18"/>
      <c r="X893" s="18"/>
      <c r="AE893" s="18"/>
    </row>
    <row r="894" spans="6:31" ht="15.75" customHeight="1" x14ac:dyDescent="0.15">
      <c r="F894" s="18"/>
      <c r="I894" s="18"/>
      <c r="J894" s="18"/>
      <c r="M894" s="18"/>
      <c r="X894" s="18"/>
      <c r="AE894" s="18"/>
    </row>
    <row r="895" spans="6:31" ht="15.75" customHeight="1" x14ac:dyDescent="0.15">
      <c r="F895" s="18"/>
      <c r="I895" s="18"/>
      <c r="J895" s="18"/>
      <c r="M895" s="18"/>
      <c r="X895" s="18"/>
      <c r="AE895" s="18"/>
    </row>
    <row r="896" spans="6:31" ht="15.75" customHeight="1" x14ac:dyDescent="0.15">
      <c r="F896" s="18"/>
      <c r="I896" s="18"/>
      <c r="J896" s="18"/>
      <c r="M896" s="18"/>
      <c r="X896" s="18"/>
      <c r="AE896" s="18"/>
    </row>
    <row r="897" spans="6:31" ht="15.75" customHeight="1" x14ac:dyDescent="0.15">
      <c r="F897" s="18"/>
      <c r="I897" s="18"/>
      <c r="J897" s="18"/>
      <c r="M897" s="18"/>
      <c r="X897" s="18"/>
      <c r="AE897" s="18"/>
    </row>
    <row r="898" spans="6:31" ht="15.75" customHeight="1" x14ac:dyDescent="0.15">
      <c r="F898" s="18"/>
      <c r="I898" s="18"/>
      <c r="J898" s="18"/>
      <c r="M898" s="18"/>
      <c r="X898" s="18"/>
      <c r="AE898" s="18"/>
    </row>
    <row r="899" spans="6:31" ht="15.75" customHeight="1" x14ac:dyDescent="0.15">
      <c r="F899" s="18"/>
      <c r="I899" s="18"/>
      <c r="J899" s="18"/>
      <c r="M899" s="18"/>
      <c r="X899" s="18"/>
      <c r="AE899" s="18"/>
    </row>
    <row r="900" spans="6:31" ht="15.75" customHeight="1" x14ac:dyDescent="0.15">
      <c r="F900" s="18"/>
      <c r="I900" s="18"/>
      <c r="J900" s="18"/>
      <c r="M900" s="18"/>
      <c r="X900" s="18"/>
      <c r="AE900" s="18"/>
    </row>
    <row r="901" spans="6:31" ht="15.75" customHeight="1" x14ac:dyDescent="0.15">
      <c r="F901" s="18"/>
      <c r="I901" s="18"/>
      <c r="J901" s="18"/>
      <c r="M901" s="18"/>
      <c r="X901" s="18"/>
      <c r="AE901" s="18"/>
    </row>
    <row r="902" spans="6:31" ht="15.75" customHeight="1" x14ac:dyDescent="0.15">
      <c r="F902" s="18"/>
      <c r="I902" s="18"/>
      <c r="J902" s="18"/>
      <c r="M902" s="18"/>
      <c r="X902" s="18"/>
      <c r="AE902" s="18"/>
    </row>
    <row r="903" spans="6:31" ht="15.75" customHeight="1" x14ac:dyDescent="0.15">
      <c r="F903" s="18"/>
      <c r="I903" s="18"/>
      <c r="J903" s="18"/>
      <c r="M903" s="18"/>
      <c r="X903" s="18"/>
      <c r="AE903" s="18"/>
    </row>
    <row r="904" spans="6:31" ht="15.75" customHeight="1" x14ac:dyDescent="0.15">
      <c r="F904" s="18"/>
      <c r="I904" s="18"/>
      <c r="J904" s="18"/>
      <c r="M904" s="18"/>
      <c r="X904" s="18"/>
      <c r="AE904" s="18"/>
    </row>
    <row r="905" spans="6:31" ht="15.75" customHeight="1" x14ac:dyDescent="0.15">
      <c r="F905" s="18"/>
      <c r="I905" s="18"/>
      <c r="J905" s="18"/>
      <c r="M905" s="18"/>
      <c r="X905" s="18"/>
      <c r="AE905" s="18"/>
    </row>
    <row r="906" spans="6:31" ht="15.75" customHeight="1" x14ac:dyDescent="0.15">
      <c r="F906" s="18"/>
      <c r="I906" s="18"/>
      <c r="J906" s="18"/>
      <c r="M906" s="18"/>
      <c r="X906" s="18"/>
      <c r="AE906" s="18"/>
    </row>
    <row r="907" spans="6:31" ht="15.75" customHeight="1" x14ac:dyDescent="0.15">
      <c r="F907" s="18"/>
      <c r="I907" s="18"/>
      <c r="J907" s="18"/>
      <c r="M907" s="18"/>
      <c r="X907" s="18"/>
      <c r="AE907" s="18"/>
    </row>
    <row r="908" spans="6:31" ht="15.75" customHeight="1" x14ac:dyDescent="0.15">
      <c r="F908" s="18"/>
      <c r="I908" s="18"/>
      <c r="J908" s="18"/>
      <c r="M908" s="18"/>
      <c r="X908" s="18"/>
      <c r="AE908" s="18"/>
    </row>
    <row r="909" spans="6:31" ht="15.75" customHeight="1" x14ac:dyDescent="0.15">
      <c r="F909" s="18"/>
      <c r="I909" s="18"/>
      <c r="J909" s="18"/>
      <c r="M909" s="18"/>
      <c r="X909" s="18"/>
      <c r="AE909" s="18"/>
    </row>
    <row r="910" spans="6:31" ht="15.75" customHeight="1" x14ac:dyDescent="0.15">
      <c r="F910" s="18"/>
      <c r="I910" s="18"/>
      <c r="J910" s="18"/>
      <c r="M910" s="18"/>
      <c r="X910" s="18"/>
      <c r="AE910" s="18"/>
    </row>
    <row r="911" spans="6:31" ht="15.75" customHeight="1" x14ac:dyDescent="0.15">
      <c r="F911" s="18"/>
      <c r="I911" s="18"/>
      <c r="J911" s="18"/>
      <c r="M911" s="18"/>
      <c r="X911" s="18"/>
      <c r="AE911" s="18"/>
    </row>
    <row r="912" spans="6:31" ht="15.75" customHeight="1" x14ac:dyDescent="0.15">
      <c r="F912" s="18"/>
      <c r="I912" s="18"/>
      <c r="J912" s="18"/>
      <c r="M912" s="18"/>
      <c r="X912" s="18"/>
      <c r="AE912" s="18"/>
    </row>
    <row r="913" spans="6:31" ht="15.75" customHeight="1" x14ac:dyDescent="0.15">
      <c r="F913" s="18"/>
      <c r="I913" s="18"/>
      <c r="J913" s="18"/>
      <c r="M913" s="18"/>
      <c r="X913" s="18"/>
      <c r="AE913" s="18"/>
    </row>
    <row r="914" spans="6:31" ht="15.75" customHeight="1" x14ac:dyDescent="0.15">
      <c r="F914" s="18"/>
      <c r="I914" s="18"/>
      <c r="J914" s="18"/>
      <c r="M914" s="18"/>
      <c r="X914" s="18"/>
      <c r="AE914" s="18"/>
    </row>
    <row r="915" spans="6:31" ht="15.75" customHeight="1" x14ac:dyDescent="0.15">
      <c r="F915" s="18"/>
      <c r="I915" s="18"/>
      <c r="J915" s="18"/>
      <c r="M915" s="18"/>
      <c r="X915" s="18"/>
      <c r="AE915" s="18"/>
    </row>
    <row r="916" spans="6:31" ht="15.75" customHeight="1" x14ac:dyDescent="0.15">
      <c r="F916" s="18"/>
      <c r="I916" s="18"/>
      <c r="J916" s="18"/>
      <c r="M916" s="18"/>
      <c r="X916" s="18"/>
      <c r="AE916" s="18"/>
    </row>
    <row r="917" spans="6:31" ht="15.75" customHeight="1" x14ac:dyDescent="0.15">
      <c r="F917" s="18"/>
      <c r="I917" s="18"/>
      <c r="J917" s="18"/>
      <c r="M917" s="18"/>
      <c r="X917" s="18"/>
      <c r="AE917" s="18"/>
    </row>
    <row r="918" spans="6:31" ht="15.75" customHeight="1" x14ac:dyDescent="0.15">
      <c r="F918" s="18"/>
      <c r="I918" s="18"/>
      <c r="J918" s="18"/>
      <c r="M918" s="18"/>
      <c r="X918" s="18"/>
      <c r="AE918" s="18"/>
    </row>
    <row r="919" spans="6:31" ht="15.75" customHeight="1" x14ac:dyDescent="0.15">
      <c r="F919" s="18"/>
      <c r="I919" s="18"/>
      <c r="J919" s="18"/>
      <c r="M919" s="18"/>
      <c r="X919" s="18"/>
      <c r="AE919" s="18"/>
    </row>
    <row r="920" spans="6:31" ht="15.75" customHeight="1" x14ac:dyDescent="0.15">
      <c r="F920" s="18"/>
      <c r="I920" s="18"/>
      <c r="J920" s="18"/>
      <c r="M920" s="18"/>
      <c r="X920" s="18"/>
      <c r="AE920" s="18"/>
    </row>
    <row r="921" spans="6:31" ht="15.75" customHeight="1" x14ac:dyDescent="0.15">
      <c r="F921" s="18"/>
      <c r="I921" s="18"/>
      <c r="J921" s="18"/>
      <c r="M921" s="18"/>
      <c r="X921" s="18"/>
      <c r="AE921" s="18"/>
    </row>
    <row r="922" spans="6:31" ht="15.75" customHeight="1" x14ac:dyDescent="0.15">
      <c r="F922" s="18"/>
      <c r="I922" s="18"/>
      <c r="J922" s="18"/>
      <c r="M922" s="18"/>
      <c r="X922" s="18"/>
      <c r="AE922" s="18"/>
    </row>
    <row r="923" spans="6:31" ht="15.75" customHeight="1" x14ac:dyDescent="0.15">
      <c r="F923" s="18"/>
      <c r="I923" s="18"/>
      <c r="J923" s="18"/>
      <c r="M923" s="18"/>
      <c r="X923" s="18"/>
      <c r="AE923" s="18"/>
    </row>
    <row r="924" spans="6:31" ht="15.75" customHeight="1" x14ac:dyDescent="0.15">
      <c r="F924" s="18"/>
      <c r="I924" s="18"/>
      <c r="J924" s="18"/>
      <c r="M924" s="18"/>
      <c r="X924" s="18"/>
      <c r="AE924" s="18"/>
    </row>
    <row r="925" spans="6:31" ht="15.75" customHeight="1" x14ac:dyDescent="0.15">
      <c r="F925" s="18"/>
      <c r="I925" s="18"/>
      <c r="J925" s="18"/>
      <c r="M925" s="18"/>
      <c r="X925" s="18"/>
      <c r="AE925" s="18"/>
    </row>
    <row r="926" spans="6:31" ht="15.75" customHeight="1" x14ac:dyDescent="0.15">
      <c r="F926" s="18"/>
      <c r="I926" s="18"/>
      <c r="J926" s="18"/>
      <c r="M926" s="18"/>
      <c r="X926" s="18"/>
      <c r="AE926" s="18"/>
    </row>
    <row r="927" spans="6:31" ht="15.75" customHeight="1" x14ac:dyDescent="0.15">
      <c r="F927" s="18"/>
      <c r="I927" s="18"/>
      <c r="J927" s="18"/>
      <c r="M927" s="18"/>
      <c r="X927" s="18"/>
      <c r="AE927" s="18"/>
    </row>
    <row r="928" spans="6:31" ht="15.75" customHeight="1" x14ac:dyDescent="0.15">
      <c r="F928" s="18"/>
      <c r="I928" s="18"/>
      <c r="J928" s="18"/>
      <c r="M928" s="18"/>
      <c r="X928" s="18"/>
      <c r="AE928" s="18"/>
    </row>
    <row r="929" spans="6:31" ht="15.75" customHeight="1" x14ac:dyDescent="0.15">
      <c r="F929" s="18"/>
      <c r="I929" s="18"/>
      <c r="J929" s="18"/>
      <c r="M929" s="18"/>
      <c r="X929" s="18"/>
      <c r="AE929" s="18"/>
    </row>
    <row r="930" spans="6:31" ht="15.75" customHeight="1" x14ac:dyDescent="0.15">
      <c r="F930" s="18"/>
      <c r="I930" s="18"/>
      <c r="J930" s="18"/>
      <c r="M930" s="18"/>
      <c r="X930" s="18"/>
      <c r="AE930" s="18"/>
    </row>
    <row r="931" spans="6:31" ht="15.75" customHeight="1" x14ac:dyDescent="0.15">
      <c r="F931" s="18"/>
      <c r="I931" s="18"/>
      <c r="J931" s="18"/>
      <c r="M931" s="18"/>
      <c r="X931" s="18"/>
      <c r="AE931" s="18"/>
    </row>
    <row r="932" spans="6:31" ht="15.75" customHeight="1" x14ac:dyDescent="0.15">
      <c r="F932" s="18"/>
      <c r="I932" s="18"/>
      <c r="J932" s="18"/>
      <c r="M932" s="18"/>
      <c r="X932" s="18"/>
      <c r="AE932" s="18"/>
    </row>
    <row r="933" spans="6:31" ht="15.75" customHeight="1" x14ac:dyDescent="0.15">
      <c r="F933" s="18"/>
      <c r="I933" s="18"/>
      <c r="J933" s="18"/>
      <c r="M933" s="18"/>
      <c r="X933" s="18"/>
      <c r="AE933" s="18"/>
    </row>
    <row r="934" spans="6:31" ht="15.75" customHeight="1" x14ac:dyDescent="0.15">
      <c r="F934" s="18"/>
      <c r="I934" s="18"/>
      <c r="J934" s="18"/>
      <c r="M934" s="18"/>
      <c r="X934" s="18"/>
      <c r="AE934" s="18"/>
    </row>
    <row r="935" spans="6:31" ht="15.75" customHeight="1" x14ac:dyDescent="0.15">
      <c r="F935" s="18"/>
      <c r="I935" s="18"/>
      <c r="J935" s="18"/>
      <c r="M935" s="18"/>
      <c r="X935" s="18"/>
      <c r="AE935" s="18"/>
    </row>
    <row r="936" spans="6:31" ht="15.75" customHeight="1" x14ac:dyDescent="0.15">
      <c r="F936" s="18"/>
      <c r="I936" s="18"/>
      <c r="J936" s="18"/>
      <c r="M936" s="18"/>
      <c r="X936" s="18"/>
      <c r="AE936" s="18"/>
    </row>
    <row r="937" spans="6:31" ht="15.75" customHeight="1" x14ac:dyDescent="0.15">
      <c r="F937" s="18"/>
      <c r="I937" s="18"/>
      <c r="J937" s="18"/>
      <c r="M937" s="18"/>
      <c r="X937" s="18"/>
      <c r="AE937" s="18"/>
    </row>
    <row r="938" spans="6:31" ht="15.75" customHeight="1" x14ac:dyDescent="0.15">
      <c r="F938" s="18"/>
      <c r="I938" s="18"/>
      <c r="J938" s="18"/>
      <c r="M938" s="18"/>
      <c r="X938" s="18"/>
      <c r="AE938" s="18"/>
    </row>
    <row r="939" spans="6:31" ht="15.75" customHeight="1" x14ac:dyDescent="0.15">
      <c r="F939" s="18"/>
      <c r="I939" s="18"/>
      <c r="J939" s="18"/>
      <c r="M939" s="18"/>
      <c r="X939" s="18"/>
      <c r="AE939" s="18"/>
    </row>
    <row r="940" spans="6:31" ht="15.75" customHeight="1" x14ac:dyDescent="0.15">
      <c r="F940" s="18"/>
      <c r="I940" s="18"/>
      <c r="J940" s="18"/>
      <c r="M940" s="18"/>
      <c r="X940" s="18"/>
      <c r="AE940" s="18"/>
    </row>
    <row r="941" spans="6:31" ht="15.75" customHeight="1" x14ac:dyDescent="0.15">
      <c r="F941" s="18"/>
      <c r="I941" s="18"/>
      <c r="J941" s="18"/>
      <c r="M941" s="18"/>
      <c r="X941" s="18"/>
      <c r="AE941" s="18"/>
    </row>
    <row r="942" spans="6:31" ht="15.75" customHeight="1" x14ac:dyDescent="0.15">
      <c r="F942" s="18"/>
      <c r="I942" s="18"/>
      <c r="J942" s="18"/>
      <c r="M942" s="18"/>
      <c r="X942" s="18"/>
      <c r="AE942" s="18"/>
    </row>
    <row r="943" spans="6:31" ht="15.75" customHeight="1" x14ac:dyDescent="0.15">
      <c r="F943" s="18"/>
      <c r="I943" s="18"/>
      <c r="J943" s="18"/>
      <c r="M943" s="18"/>
      <c r="X943" s="18"/>
      <c r="AE943" s="18"/>
    </row>
    <row r="944" spans="6:31" ht="15.75" customHeight="1" x14ac:dyDescent="0.15">
      <c r="F944" s="18"/>
      <c r="I944" s="18"/>
      <c r="J944" s="18"/>
      <c r="M944" s="18"/>
      <c r="X944" s="18"/>
      <c r="AE944" s="18"/>
    </row>
    <row r="945" spans="6:31" ht="15.75" customHeight="1" x14ac:dyDescent="0.15">
      <c r="F945" s="18"/>
      <c r="I945" s="18"/>
      <c r="J945" s="18"/>
      <c r="M945" s="18"/>
      <c r="X945" s="18"/>
      <c r="AE945" s="18"/>
    </row>
    <row r="946" spans="6:31" ht="15.75" customHeight="1" x14ac:dyDescent="0.15">
      <c r="F946" s="18"/>
      <c r="I946" s="18"/>
      <c r="J946" s="18"/>
      <c r="M946" s="18"/>
      <c r="X946" s="18"/>
      <c r="AE946" s="18"/>
    </row>
    <row r="947" spans="6:31" ht="15.75" customHeight="1" x14ac:dyDescent="0.15">
      <c r="F947" s="18"/>
      <c r="I947" s="18"/>
      <c r="J947" s="18"/>
      <c r="M947" s="18"/>
      <c r="X947" s="18"/>
      <c r="AE947" s="18"/>
    </row>
    <row r="948" spans="6:31" ht="15.75" customHeight="1" x14ac:dyDescent="0.15">
      <c r="F948" s="18"/>
      <c r="I948" s="18"/>
      <c r="J948" s="18"/>
      <c r="M948" s="18"/>
      <c r="X948" s="18"/>
      <c r="AE948" s="18"/>
    </row>
    <row r="949" spans="6:31" ht="15.75" customHeight="1" x14ac:dyDescent="0.15">
      <c r="F949" s="18"/>
      <c r="I949" s="18"/>
      <c r="J949" s="18"/>
      <c r="M949" s="18"/>
      <c r="X949" s="18"/>
      <c r="AE949" s="18"/>
    </row>
    <row r="950" spans="6:31" ht="15.75" customHeight="1" x14ac:dyDescent="0.15">
      <c r="F950" s="18"/>
      <c r="I950" s="18"/>
      <c r="J950" s="18"/>
      <c r="M950" s="18"/>
      <c r="X950" s="18"/>
      <c r="AE950" s="18"/>
    </row>
    <row r="951" spans="6:31" ht="15.75" customHeight="1" x14ac:dyDescent="0.15">
      <c r="F951" s="18"/>
      <c r="I951" s="18"/>
      <c r="J951" s="18"/>
      <c r="M951" s="18"/>
      <c r="X951" s="18"/>
      <c r="AE951" s="18"/>
    </row>
    <row r="952" spans="6:31" ht="15.75" customHeight="1" x14ac:dyDescent="0.15">
      <c r="F952" s="18"/>
      <c r="I952" s="18"/>
      <c r="J952" s="18"/>
      <c r="M952" s="18"/>
      <c r="X952" s="18"/>
      <c r="AE952" s="18"/>
    </row>
    <row r="953" spans="6:31" ht="15.75" customHeight="1" x14ac:dyDescent="0.15">
      <c r="F953" s="18"/>
      <c r="I953" s="18"/>
      <c r="J953" s="18"/>
      <c r="M953" s="18"/>
      <c r="X953" s="18"/>
      <c r="AE953" s="18"/>
    </row>
  </sheetData>
  <phoneticPr fontId="10"/>
  <conditionalFormatting sqref="G1:H75 G76:G77 G78:H953 C243:D953">
    <cfRule type="containsText" dxfId="1" priority="1" operator="containsText" text="junk">
      <formula>NOT(ISERROR(SEARCH(("junk"),(G1))))</formula>
    </cfRule>
  </conditionalFormatting>
  <conditionalFormatting sqref="H77">
    <cfRule type="containsText" dxfId="0" priority="3" operator="containsText" text="junk">
      <formula>NOT(ISERROR(SEARCH(("junk"),(L76))))</formula>
    </cfRule>
  </conditionalFormatting>
  <dataValidations count="6">
    <dataValidation type="list" allowBlank="1" showErrorMessage="1" sqref="X4:X953" xr:uid="{00000000-0002-0000-0000-000000000000}">
      <formula1>"C type,UD30LR20,Sieve,Blank"</formula1>
    </dataValidation>
    <dataValidation type="list" allowBlank="1" showErrorMessage="1" sqref="I4:I953" xr:uid="{00000000-0002-0000-0000-000001000000}">
      <formula1>"Blank,Viewer,204Pb,208Pb,206Pb,natC,Mylar"</formula1>
    </dataValidation>
    <dataValidation type="list" allowBlank="1" showErrorMessage="1" sqref="AE4:AE953" xr:uid="{00000000-0002-0000-0000-000002000000}">
      <formula1>"LR50UD60,Sieve,Blank"</formula1>
    </dataValidation>
    <dataValidation type="list" allowBlank="1" showErrorMessage="1" sqref="M4:M953" xr:uid="{00000000-0002-0000-0000-000003000000}">
      <formula1>"GR+LAS,GR Single,GR or LAS"</formula1>
    </dataValidation>
    <dataValidation type="list" allowBlank="1" showErrorMessage="1" sqref="F4:F953" xr:uid="{00000000-0002-0000-0000-000004000000}">
      <formula1>"Physics,Tuning,Calib,Phys/Cal/Tun"</formula1>
    </dataValidation>
    <dataValidation type="list" allowBlank="1" showErrorMessage="1" sqref="J4:J953" xr:uid="{00000000-0002-0000-0000-000005000000}">
      <formula1>"SC,Wall"</formula1>
    </dataValidation>
  </dataValidations>
  <printOptions horizontalCentered="1" gridLines="1"/>
  <pageMargins left="0.7" right="0.7" top="0.75" bottom="0.75" header="0" footer="0"/>
  <pageSetup paperSize="9" scale="47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FUKUHARA Soki</cp:lastModifiedBy>
  <dcterms:modified xsi:type="dcterms:W3CDTF">2026-02-06T07:01:46Z</dcterms:modified>
</cp:coreProperties>
</file>